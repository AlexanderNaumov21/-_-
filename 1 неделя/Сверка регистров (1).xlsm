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sus\Desktop\Учеба\Гринатом\"/>
    </mc:Choice>
  </mc:AlternateContent>
  <xr:revisionPtr revIDLastSave="0" documentId="8_{C9EF3B45-D650-452C-85AE-191AAB5F18E2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Регистр 0L" sheetId="1" r:id="rId1"/>
    <sheet name="Регистр 0M" sheetId="2" r:id="rId2"/>
    <sheet name="Лист1" sheetId="3" r:id="rId3"/>
  </sheets>
  <externalReferences>
    <externalReference r:id="rId4"/>
  </externalReferences>
  <definedNames>
    <definedName name="_xlnm._FilterDatabase" localSheetId="0" hidden="1">'Регистр 0L'!$A$1:$M$260</definedName>
    <definedName name="_xlnm._FilterDatabase" localSheetId="1" hidden="1">'Регистр 0M'!$A$1:$L$285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3" l="1"/>
  <c r="D4" i="3"/>
  <c r="D5" i="3"/>
  <c r="D6" i="3"/>
  <c r="D7" i="3"/>
  <c r="D8" i="3"/>
  <c r="D3" i="3"/>
  <c r="B4" i="3"/>
  <c r="B5" i="3"/>
  <c r="B6" i="3"/>
  <c r="B7" i="3"/>
  <c r="B8" i="3"/>
  <c r="B3" i="3"/>
  <c r="F30" i="3"/>
  <c r="F31" i="3"/>
  <c r="F29" i="3"/>
  <c r="F26" i="3"/>
  <c r="F27" i="3"/>
  <c r="F25" i="3"/>
  <c r="F23" i="3"/>
  <c r="F22" i="3"/>
  <c r="F19" i="3"/>
  <c r="F20" i="3"/>
  <c r="F18" i="3"/>
  <c r="C30" i="3"/>
  <c r="C31" i="3"/>
  <c r="C29" i="3"/>
  <c r="C26" i="3"/>
  <c r="C27" i="3"/>
  <c r="C25" i="3"/>
  <c r="C23" i="3"/>
  <c r="C22" i="3"/>
  <c r="C19" i="3"/>
  <c r="C20" i="3"/>
  <c r="C18" i="3"/>
  <c r="F14" i="3"/>
  <c r="F16" i="3"/>
  <c r="C16" i="3"/>
  <c r="C14" i="3"/>
  <c r="G29" i="3" l="1"/>
  <c r="G31" i="3"/>
  <c r="G30" i="3"/>
  <c r="G25" i="3"/>
  <c r="G27" i="3"/>
  <c r="G23" i="3"/>
  <c r="G18" i="3"/>
  <c r="G20" i="3"/>
  <c r="G19" i="3"/>
  <c r="G16" i="3"/>
  <c r="G22" i="3"/>
  <c r="G26" i="3"/>
  <c r="G14" i="3"/>
  <c r="C3" i="3" l="1" a="1"/>
  <c r="C3" i="3" s="1"/>
  <c r="C4" i="3" s="1" a="1"/>
  <c r="C4" i="3" s="1"/>
  <c r="A3" i="3" a="1"/>
  <c r="A3" i="3" s="1"/>
  <c r="A4" i="3" s="1" a="1"/>
  <c r="A4" i="3" s="1"/>
  <c r="C5" i="3" l="1" a="1"/>
  <c r="C5" i="3" s="1"/>
  <c r="A5" i="3" a="1"/>
  <c r="A5" i="3" s="1"/>
  <c r="A6" i="3" s="1" a="1"/>
  <c r="A6" i="3" s="1"/>
  <c r="C6" i="3" l="1" a="1"/>
  <c r="C6" i="3" s="1"/>
  <c r="A7" i="3" a="1"/>
  <c r="A7" i="3" s="1"/>
  <c r="A8" i="3" s="1" a="1"/>
  <c r="A8" i="3" s="1"/>
  <c r="E4" i="3"/>
  <c r="E3" i="3"/>
  <c r="C7" i="3" l="1" a="1"/>
  <c r="C7" i="3" s="1"/>
  <c r="C8" i="3" s="1" a="1"/>
  <c r="C8" i="3" s="1"/>
  <c r="E6" i="3" l="1"/>
  <c r="E7" i="3" l="1"/>
  <c r="A9" i="3" l="1" a="1"/>
  <c r="A9" i="3" s="1"/>
  <c r="A10" i="3" s="1" a="1"/>
  <c r="A10" i="3" s="1"/>
  <c r="E8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<sst xmlns="http://schemas.openxmlformats.org/spreadsheetml/2006/main" count="6299" uniqueCount="94">
  <si>
    <t/>
  </si>
  <si>
    <t>3521102000</t>
  </si>
  <si>
    <t>AFB/01/2021/007/01</t>
  </si>
  <si>
    <t>AF</t>
  </si>
  <si>
    <t>RUB</t>
  </si>
  <si>
    <t>300000104</t>
  </si>
  <si>
    <t>40</t>
  </si>
  <si>
    <t>300000107</t>
  </si>
  <si>
    <t>3520902040</t>
  </si>
  <si>
    <t>АВИЗО</t>
  </si>
  <si>
    <t>SA</t>
  </si>
  <si>
    <t>4000001392</t>
  </si>
  <si>
    <t>3520902070</t>
  </si>
  <si>
    <t>4000001393</t>
  </si>
  <si>
    <t>3521201000</t>
  </si>
  <si>
    <t>4000001394</t>
  </si>
  <si>
    <t>4000001440</t>
  </si>
  <si>
    <t>4000001441</t>
  </si>
  <si>
    <t>81</t>
  </si>
  <si>
    <t>RE</t>
  </si>
  <si>
    <t>УС май 2021</t>
  </si>
  <si>
    <t>20389585500/100</t>
  </si>
  <si>
    <t>5100003854</t>
  </si>
  <si>
    <t>УС июнь 2021</t>
  </si>
  <si>
    <t>20549375038/100</t>
  </si>
  <si>
    <t>5100003855</t>
  </si>
  <si>
    <t>ТП ПО 2 кв 2021</t>
  </si>
  <si>
    <t>3520811000</t>
  </si>
  <si>
    <t>6 от 14.07.2021</t>
  </si>
  <si>
    <t>6</t>
  </si>
  <si>
    <t>5100003960</t>
  </si>
  <si>
    <t>3521101000</t>
  </si>
  <si>
    <t>399</t>
  </si>
  <si>
    <t>5100004033</t>
  </si>
  <si>
    <t>1276</t>
  </si>
  <si>
    <t>5100004108</t>
  </si>
  <si>
    <t>32</t>
  </si>
  <si>
    <t>5100004400</t>
  </si>
  <si>
    <t>309</t>
  </si>
  <si>
    <t>5100004401</t>
  </si>
  <si>
    <t>310</t>
  </si>
  <si>
    <t>5100004402</t>
  </si>
  <si>
    <t>I010210731/10008</t>
  </si>
  <si>
    <t>5100004403</t>
  </si>
  <si>
    <t>Счет Главной книги</t>
  </si>
  <si>
    <t>Текст заголовка документа</t>
  </si>
  <si>
    <t>Вид документа</t>
  </si>
  <si>
    <t>Сумма в валюте документа</t>
  </si>
  <si>
    <t>Валюта документа</t>
  </si>
  <si>
    <t>Ссылка</t>
  </si>
  <si>
    <t>№ документа</t>
  </si>
  <si>
    <t>Бизнес-сфера</t>
  </si>
  <si>
    <t>Присвоение</t>
  </si>
  <si>
    <t>Код проводки</t>
  </si>
  <si>
    <t>Текст</t>
  </si>
  <si>
    <t>МВЗ</t>
  </si>
  <si>
    <t>A000061014</t>
  </si>
  <si>
    <t>A000050062</t>
  </si>
  <si>
    <t>A000051012</t>
  </si>
  <si>
    <t>A002A00000000152</t>
  </si>
  <si>
    <t>A000021011</t>
  </si>
  <si>
    <t>A002A00000000153</t>
  </si>
  <si>
    <t>A002A00000000154</t>
  </si>
  <si>
    <t>A001A00000000106</t>
  </si>
  <si>
    <t>A001A00000000107</t>
  </si>
  <si>
    <t>A000060024</t>
  </si>
  <si>
    <t>A000050058</t>
  </si>
  <si>
    <t>A000060022</t>
  </si>
  <si>
    <t>A002A00100000152</t>
  </si>
  <si>
    <t>A001021011</t>
  </si>
  <si>
    <t>A002A00100000153</t>
  </si>
  <si>
    <t>A002A00100000154</t>
  </si>
  <si>
    <t>A001A00100000106</t>
  </si>
  <si>
    <t>A001A00100000107</t>
  </si>
  <si>
    <t>A001061014</t>
  </si>
  <si>
    <t>A001051012</t>
  </si>
  <si>
    <t>A001050062</t>
  </si>
  <si>
    <t>A001060024</t>
  </si>
  <si>
    <t>A001050058</t>
  </si>
  <si>
    <t>A001060022</t>
  </si>
  <si>
    <t>AFB/08/2021/007/01</t>
  </si>
  <si>
    <t>8200023061</t>
  </si>
  <si>
    <t>8200023062</t>
  </si>
  <si>
    <t>0L</t>
  </si>
  <si>
    <t>Регистр</t>
  </si>
  <si>
    <t>0M</t>
  </si>
  <si>
    <t>Регистр 0L</t>
  </si>
  <si>
    <t>Регистр 0M</t>
  </si>
  <si>
    <t>Разность сумм</t>
  </si>
  <si>
    <t>Счета ГК</t>
  </si>
  <si>
    <t xml:space="preserve">Сумма </t>
  </si>
  <si>
    <t>СГК</t>
  </si>
  <si>
    <t>Сумма</t>
  </si>
  <si>
    <t>Регистр 0М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</si>
</sst>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79998168889431442"/>
        <bgColor indexed="65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3" borderId="0" applyNumberFormat="0" applyBorder="0" applyAlignment="0" applyProtection="0"/>
  </cellStyleXfs>
  <cellXfs count="39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2" fillId="2" borderId="1" xfId="0" applyFont="1" applyFill="1" applyBorder="1" applyAlignment="1">
      <alignment vertical="top"/>
    </xf>
    <xf numFmtId="0" fontId="2" fillId="0" borderId="0" xfId="0" applyFont="1" applyAlignment="1">
      <alignment vertical="top"/>
    </xf>
    <xf numFmtId="0" fontId="0" fillId="0" borderId="0" xfId="0"/>
    <xf numFmtId="0" fontId="0" fillId="0" borderId="0" xfId="0" applyBorder="1"/>
    <xf numFmtId="0" fontId="0" fillId="0" borderId="1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12" xfId="0" applyBorder="1" applyAlignment="1">
      <alignment vertical="top"/>
    </xf>
    <xf numFmtId="0" fontId="0" fillId="0" borderId="13" xfId="0" applyBorder="1" applyAlignment="1">
      <alignment vertical="top"/>
    </xf>
    <xf numFmtId="0" fontId="0" fillId="0" borderId="14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1" fillId="3" borderId="9" xfId="1" applyBorder="1" applyAlignment="1">
      <alignment vertical="top"/>
    </xf>
    <xf numFmtId="0" fontId="1" fillId="3" borderId="1" xfId="1" applyBorder="1" applyAlignment="1">
      <alignment vertical="top"/>
    </xf>
    <xf numFmtId="0" fontId="1" fillId="3" borderId="10" xfId="1" applyBorder="1" applyAlignment="1">
      <alignment vertical="top"/>
    </xf>
    <xf numFmtId="0" fontId="1" fillId="3" borderId="13" xfId="1" applyBorder="1" applyAlignment="1">
      <alignment vertical="top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1" fillId="3" borderId="9" xfId="1" applyBorder="1"/>
    <xf numFmtId="0" fontId="1" fillId="3" borderId="10" xfId="1" applyBorder="1"/>
    <xf numFmtId="0" fontId="1" fillId="3" borderId="11" xfId="1" applyBorder="1"/>
    <xf numFmtId="0" fontId="1" fillId="3" borderId="12" xfId="1" applyBorder="1"/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Border="1"/>
    <xf numFmtId="0" fontId="1" fillId="3" borderId="13" xfId="1" applyBorder="1"/>
    <xf numFmtId="0" fontId="1" fillId="3" borderId="14" xfId="1" applyBorder="1"/>
    <xf numFmtId="0" fontId="0" fillId="0" borderId="5" xfId="0" applyBorder="1"/>
  </cellXfs>
  <cellStyles count="2">
    <cellStyle name="20% — акцент3" xfId="1" builtinId="38"/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</xdr:colOff>
      <xdr:row>3</xdr:row>
      <xdr:rowOff>0</xdr:rowOff>
    </xdr:from>
    <xdr:to>
      <xdr:col>19</xdr:col>
      <xdr:colOff>419101</xdr:colOff>
      <xdr:row>10</xdr:row>
      <xdr:rowOff>161926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13182601" y="828675"/>
          <a:ext cx="3467100" cy="136207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Задание:</a:t>
          </a:r>
        </a:p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В системе не идут данные </a:t>
          </a:r>
          <a:r>
            <a:rPr lang="ru-RU" sz="1000" b="1" i="0" u="none" strike="noStrike" baseline="0">
              <a:solidFill>
                <a:srgbClr val="000000"/>
              </a:solidFill>
              <a:latin typeface="Arial"/>
              <a:ea typeface="+mn-ea"/>
              <a:cs typeface="Arial"/>
            </a:rPr>
            <a:t>между регистрами 0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ea typeface="+mn-ea"/>
              <a:cs typeface="Arial"/>
            </a:rPr>
            <a:t>L </a:t>
          </a:r>
          <a:r>
            <a:rPr lang="ru-RU" sz="1000" b="1" i="0" u="none" strike="noStrike" baseline="0">
              <a:solidFill>
                <a:srgbClr val="000000"/>
              </a:solidFill>
              <a:latin typeface="Arial"/>
              <a:ea typeface="+mn-ea"/>
              <a:cs typeface="Arial"/>
            </a:rPr>
            <a:t>и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ea typeface="+mn-ea"/>
              <a:cs typeface="Arial"/>
            </a:rPr>
            <a:t>0M</a:t>
          </a: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.</a:t>
          </a:r>
          <a:endParaRPr lang="en-US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1. Найти и определить сумму расхождений между регистрами по счетам Главной книги. </a:t>
          </a:r>
        </a:p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2. Внутри счета определить суммы расхождений по МВЗ.</a:t>
          </a:r>
        </a:p>
        <a:p>
          <a:pPr algn="l" rtl="0">
            <a:defRPr sz="1000"/>
          </a:pPr>
          <a:endParaRPr lang="ru-RU" sz="10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Наглядно отразить какие функции использовали.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Desktop/&#1057;&#1074;&#1077;&#1088;&#1082;&#1072;%20&#1088;&#1077;&#1075;&#1080;&#1089;&#1090;&#1088;&#1086;&#1074;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егистр 0L"/>
      <sheetName val="Регистр 0M"/>
      <sheetName val="Лист1"/>
    </sheetNames>
    <sheetDataSet>
      <sheetData sheetId="0">
        <row r="2">
          <cell r="B2" t="str">
            <v>3520811000</v>
          </cell>
        </row>
        <row r="3">
          <cell r="B3" t="str">
            <v>3520902040</v>
          </cell>
        </row>
        <row r="4">
          <cell r="B4" t="str">
            <v>3520902070</v>
          </cell>
        </row>
        <row r="5">
          <cell r="B5" t="str">
            <v>3520902070</v>
          </cell>
        </row>
        <row r="6">
          <cell r="B6" t="str">
            <v>3520902070</v>
          </cell>
        </row>
        <row r="7">
          <cell r="B7" t="str">
            <v>3520902070</v>
          </cell>
        </row>
        <row r="8">
          <cell r="B8" t="str">
            <v>3520902070</v>
          </cell>
        </row>
        <row r="9">
          <cell r="B9" t="str">
            <v>3520902070</v>
          </cell>
        </row>
        <row r="10">
          <cell r="B10" t="str">
            <v>3521101000</v>
          </cell>
        </row>
        <row r="11">
          <cell r="B11" t="str">
            <v>3521101000</v>
          </cell>
        </row>
        <row r="12">
          <cell r="B12" t="str">
            <v>3521102000</v>
          </cell>
        </row>
        <row r="13">
          <cell r="B13" t="str">
            <v>3521102000</v>
          </cell>
        </row>
        <row r="14">
          <cell r="B14" t="str">
            <v>3521102000</v>
          </cell>
        </row>
        <row r="15">
          <cell r="B15" t="str">
            <v>3521102000</v>
          </cell>
        </row>
        <row r="16">
          <cell r="B16" t="str">
            <v>3521102000</v>
          </cell>
        </row>
        <row r="17">
          <cell r="B17" t="str">
            <v>3521102000</v>
          </cell>
        </row>
        <row r="18">
          <cell r="B18" t="str">
            <v>3521102000</v>
          </cell>
        </row>
        <row r="19">
          <cell r="B19" t="str">
            <v>3521102000</v>
          </cell>
        </row>
        <row r="20">
          <cell r="B20" t="str">
            <v>3521102000</v>
          </cell>
        </row>
        <row r="21">
          <cell r="B21" t="str">
            <v>3521102000</v>
          </cell>
        </row>
        <row r="22">
          <cell r="B22" t="str">
            <v>3521102000</v>
          </cell>
        </row>
        <row r="23">
          <cell r="B23" t="str">
            <v>3521102000</v>
          </cell>
        </row>
        <row r="24">
          <cell r="B24" t="str">
            <v>3521102000</v>
          </cell>
        </row>
        <row r="25">
          <cell r="B25" t="str">
            <v>3521102000</v>
          </cell>
        </row>
        <row r="26">
          <cell r="B26" t="str">
            <v>3521102000</v>
          </cell>
        </row>
        <row r="27">
          <cell r="B27" t="str">
            <v>3521102000</v>
          </cell>
        </row>
        <row r="28">
          <cell r="B28" t="str">
            <v>3521102000</v>
          </cell>
        </row>
        <row r="29">
          <cell r="B29" t="str">
            <v>3521102000</v>
          </cell>
        </row>
        <row r="30">
          <cell r="B30" t="str">
            <v>3521102000</v>
          </cell>
        </row>
        <row r="31">
          <cell r="B31" t="str">
            <v>3521102000</v>
          </cell>
        </row>
        <row r="32">
          <cell r="B32" t="str">
            <v>3521102000</v>
          </cell>
        </row>
        <row r="33">
          <cell r="B33" t="str">
            <v>3521102000</v>
          </cell>
        </row>
        <row r="34">
          <cell r="B34" t="str">
            <v>3521102000</v>
          </cell>
        </row>
        <row r="35">
          <cell r="B35" t="str">
            <v>3521102000</v>
          </cell>
        </row>
        <row r="36">
          <cell r="B36" t="str">
            <v>3521102000</v>
          </cell>
        </row>
        <row r="37">
          <cell r="B37" t="str">
            <v>3521102000</v>
          </cell>
        </row>
        <row r="38">
          <cell r="B38" t="str">
            <v>3521102000</v>
          </cell>
        </row>
        <row r="39">
          <cell r="B39" t="str">
            <v>3521102000</v>
          </cell>
        </row>
        <row r="40">
          <cell r="B40" t="str">
            <v>3521102000</v>
          </cell>
        </row>
        <row r="41">
          <cell r="B41" t="str">
            <v>3521102000</v>
          </cell>
        </row>
        <row r="42">
          <cell r="B42" t="str">
            <v>3521102000</v>
          </cell>
        </row>
        <row r="43">
          <cell r="B43" t="str">
            <v>3521102000</v>
          </cell>
        </row>
        <row r="44">
          <cell r="B44" t="str">
            <v>3521102000</v>
          </cell>
        </row>
        <row r="45">
          <cell r="B45" t="str">
            <v>3521102000</v>
          </cell>
        </row>
        <row r="46">
          <cell r="B46" t="str">
            <v>3521102000</v>
          </cell>
        </row>
        <row r="47">
          <cell r="B47" t="str">
            <v>3521102000</v>
          </cell>
        </row>
        <row r="48">
          <cell r="B48" t="str">
            <v>3521102000</v>
          </cell>
        </row>
        <row r="49">
          <cell r="B49" t="str">
            <v>3521102000</v>
          </cell>
        </row>
        <row r="50">
          <cell r="B50" t="str">
            <v>3521102000</v>
          </cell>
        </row>
        <row r="51">
          <cell r="B51" t="str">
            <v>3521102000</v>
          </cell>
        </row>
        <row r="52">
          <cell r="B52" t="str">
            <v>3521102000</v>
          </cell>
        </row>
        <row r="53">
          <cell r="B53" t="str">
            <v>3521102000</v>
          </cell>
        </row>
        <row r="54">
          <cell r="B54" t="str">
            <v>3521102000</v>
          </cell>
        </row>
        <row r="55">
          <cell r="B55" t="str">
            <v>3521102000</v>
          </cell>
        </row>
        <row r="56">
          <cell r="B56" t="str">
            <v>3521102000</v>
          </cell>
        </row>
        <row r="57">
          <cell r="B57" t="str">
            <v>3521102000</v>
          </cell>
        </row>
        <row r="58">
          <cell r="B58" t="str">
            <v>3521102000</v>
          </cell>
        </row>
        <row r="59">
          <cell r="B59" t="str">
            <v>3521102000</v>
          </cell>
        </row>
        <row r="60">
          <cell r="B60" t="str">
            <v>3521102000</v>
          </cell>
        </row>
        <row r="61">
          <cell r="B61" t="str">
            <v>3521102000</v>
          </cell>
        </row>
        <row r="62">
          <cell r="B62" t="str">
            <v>3521102000</v>
          </cell>
        </row>
        <row r="63">
          <cell r="B63" t="str">
            <v>3521102000</v>
          </cell>
        </row>
        <row r="64">
          <cell r="B64" t="str">
            <v>3521102000</v>
          </cell>
        </row>
        <row r="65">
          <cell r="B65" t="str">
            <v>3521102000</v>
          </cell>
        </row>
        <row r="66">
          <cell r="B66" t="str">
            <v>3521102000</v>
          </cell>
        </row>
        <row r="67">
          <cell r="B67" t="str">
            <v>3521102000</v>
          </cell>
        </row>
        <row r="68">
          <cell r="B68" t="str">
            <v>3521102000</v>
          </cell>
        </row>
        <row r="69">
          <cell r="B69" t="str">
            <v>3521102000</v>
          </cell>
        </row>
        <row r="70">
          <cell r="B70" t="str">
            <v>3521102000</v>
          </cell>
        </row>
        <row r="71">
          <cell r="B71" t="str">
            <v>3521102000</v>
          </cell>
        </row>
        <row r="72">
          <cell r="B72" t="str">
            <v>3521102000</v>
          </cell>
        </row>
        <row r="73">
          <cell r="B73" t="str">
            <v>3521102000</v>
          </cell>
        </row>
        <row r="74">
          <cell r="B74" t="str">
            <v>3521102000</v>
          </cell>
        </row>
        <row r="75">
          <cell r="B75" t="str">
            <v>3521102000</v>
          </cell>
        </row>
        <row r="76">
          <cell r="B76" t="str">
            <v>3521102000</v>
          </cell>
        </row>
        <row r="77">
          <cell r="B77" t="str">
            <v>3521102000</v>
          </cell>
        </row>
        <row r="78">
          <cell r="B78" t="str">
            <v>3521102000</v>
          </cell>
        </row>
        <row r="79">
          <cell r="B79" t="str">
            <v>3521102000</v>
          </cell>
        </row>
        <row r="80">
          <cell r="B80" t="str">
            <v>3521102000</v>
          </cell>
        </row>
        <row r="81">
          <cell r="B81" t="str">
            <v>3521102000</v>
          </cell>
        </row>
        <row r="82">
          <cell r="B82" t="str">
            <v>3521102000</v>
          </cell>
        </row>
        <row r="83">
          <cell r="B83" t="str">
            <v>3521102000</v>
          </cell>
        </row>
        <row r="84">
          <cell r="B84" t="str">
            <v>3521102000</v>
          </cell>
        </row>
        <row r="85">
          <cell r="B85" t="str">
            <v>3521102000</v>
          </cell>
        </row>
        <row r="86">
          <cell r="B86" t="str">
            <v>3521102000</v>
          </cell>
        </row>
        <row r="87">
          <cell r="B87" t="str">
            <v>3521102000</v>
          </cell>
        </row>
        <row r="88">
          <cell r="B88" t="str">
            <v>3521102000</v>
          </cell>
        </row>
        <row r="89">
          <cell r="B89" t="str">
            <v>3521102000</v>
          </cell>
        </row>
        <row r="90">
          <cell r="B90" t="str">
            <v>3521102000</v>
          </cell>
        </row>
        <row r="91">
          <cell r="B91" t="str">
            <v>3521102000</v>
          </cell>
        </row>
        <row r="92">
          <cell r="B92" t="str">
            <v>3521102000</v>
          </cell>
        </row>
        <row r="93">
          <cell r="B93" t="str">
            <v>3521102000</v>
          </cell>
        </row>
        <row r="94">
          <cell r="B94" t="str">
            <v>3521102000</v>
          </cell>
        </row>
        <row r="95">
          <cell r="B95" t="str">
            <v>3521102000</v>
          </cell>
        </row>
        <row r="96">
          <cell r="B96" t="str">
            <v>3521102000</v>
          </cell>
        </row>
        <row r="97">
          <cell r="B97" t="str">
            <v>3521102000</v>
          </cell>
        </row>
        <row r="98">
          <cell r="B98" t="str">
            <v>3521102000</v>
          </cell>
        </row>
        <row r="99">
          <cell r="B99" t="str">
            <v>3521102000</v>
          </cell>
        </row>
        <row r="100">
          <cell r="B100" t="str">
            <v>3521102000</v>
          </cell>
        </row>
        <row r="101">
          <cell r="B101" t="str">
            <v>3521102000</v>
          </cell>
        </row>
        <row r="102">
          <cell r="B102" t="str">
            <v>3521102000</v>
          </cell>
        </row>
        <row r="103">
          <cell r="B103" t="str">
            <v>3521102000</v>
          </cell>
        </row>
        <row r="104">
          <cell r="B104" t="str">
            <v>3521102000</v>
          </cell>
        </row>
        <row r="105">
          <cell r="B105" t="str">
            <v>3521102000</v>
          </cell>
        </row>
        <row r="106">
          <cell r="B106" t="str">
            <v>3521102000</v>
          </cell>
        </row>
        <row r="107">
          <cell r="B107" t="str">
            <v>3521102000</v>
          </cell>
        </row>
        <row r="108">
          <cell r="B108" t="str">
            <v>3521102000</v>
          </cell>
        </row>
        <row r="109">
          <cell r="B109" t="str">
            <v>3521102000</v>
          </cell>
        </row>
        <row r="110">
          <cell r="B110" t="str">
            <v>3521102000</v>
          </cell>
        </row>
        <row r="111">
          <cell r="B111" t="str">
            <v>3521102000</v>
          </cell>
        </row>
        <row r="112">
          <cell r="B112" t="str">
            <v>3521102000</v>
          </cell>
        </row>
        <row r="113">
          <cell r="B113" t="str">
            <v>3521102000</v>
          </cell>
        </row>
        <row r="114">
          <cell r="B114" t="str">
            <v>3521102000</v>
          </cell>
        </row>
        <row r="115">
          <cell r="B115" t="str">
            <v>3521102000</v>
          </cell>
        </row>
        <row r="116">
          <cell r="B116" t="str">
            <v>3521102000</v>
          </cell>
        </row>
        <row r="117">
          <cell r="B117" t="str">
            <v>3521102000</v>
          </cell>
        </row>
        <row r="118">
          <cell r="B118" t="str">
            <v>3521102000</v>
          </cell>
        </row>
        <row r="119">
          <cell r="B119" t="str">
            <v>3521102000</v>
          </cell>
        </row>
        <row r="120">
          <cell r="B120" t="str">
            <v>3521102000</v>
          </cell>
        </row>
        <row r="121">
          <cell r="B121" t="str">
            <v>3521102000</v>
          </cell>
        </row>
        <row r="122">
          <cell r="B122" t="str">
            <v>3521102000</v>
          </cell>
        </row>
        <row r="123">
          <cell r="B123" t="str">
            <v>3521102000</v>
          </cell>
        </row>
        <row r="124">
          <cell r="B124" t="str">
            <v>3521102000</v>
          </cell>
        </row>
        <row r="125">
          <cell r="B125" t="str">
            <v>3521102000</v>
          </cell>
        </row>
        <row r="126">
          <cell r="B126" t="str">
            <v>3521102000</v>
          </cell>
        </row>
        <row r="127">
          <cell r="B127" t="str">
            <v>3521102000</v>
          </cell>
        </row>
        <row r="128">
          <cell r="B128" t="str">
            <v>3521102000</v>
          </cell>
        </row>
        <row r="129">
          <cell r="B129" t="str">
            <v>3521102000</v>
          </cell>
        </row>
        <row r="130">
          <cell r="B130" t="str">
            <v>3521102000</v>
          </cell>
        </row>
        <row r="131">
          <cell r="B131" t="str">
            <v>3521102000</v>
          </cell>
        </row>
        <row r="132">
          <cell r="B132" t="str">
            <v>3521102000</v>
          </cell>
        </row>
        <row r="133">
          <cell r="B133" t="str">
            <v>3521102000</v>
          </cell>
        </row>
        <row r="134">
          <cell r="B134" t="str">
            <v>3521102000</v>
          </cell>
        </row>
        <row r="135">
          <cell r="B135" t="str">
            <v>3521102000</v>
          </cell>
        </row>
        <row r="136">
          <cell r="B136" t="str">
            <v>3521102000</v>
          </cell>
        </row>
        <row r="137">
          <cell r="B137" t="str">
            <v>3521102000</v>
          </cell>
        </row>
        <row r="138">
          <cell r="B138" t="str">
            <v>3521102000</v>
          </cell>
        </row>
        <row r="139">
          <cell r="B139" t="str">
            <v>3521102000</v>
          </cell>
        </row>
        <row r="140">
          <cell r="B140" t="str">
            <v>3521102000</v>
          </cell>
        </row>
        <row r="141">
          <cell r="B141" t="str">
            <v>3521102000</v>
          </cell>
        </row>
        <row r="142">
          <cell r="B142" t="str">
            <v>3521102000</v>
          </cell>
        </row>
        <row r="143">
          <cell r="B143" t="str">
            <v>3521102000</v>
          </cell>
        </row>
        <row r="144">
          <cell r="B144" t="str">
            <v>3521102000</v>
          </cell>
        </row>
        <row r="145">
          <cell r="B145" t="str">
            <v>3521102000</v>
          </cell>
        </row>
        <row r="146">
          <cell r="B146" t="str">
            <v>3521102000</v>
          </cell>
        </row>
        <row r="147">
          <cell r="B147" t="str">
            <v>3521102000</v>
          </cell>
        </row>
        <row r="148">
          <cell r="B148" t="str">
            <v>3521102000</v>
          </cell>
        </row>
        <row r="149">
          <cell r="B149" t="str">
            <v>3521102000</v>
          </cell>
        </row>
        <row r="150">
          <cell r="B150" t="str">
            <v>3521102000</v>
          </cell>
        </row>
        <row r="151">
          <cell r="B151" t="str">
            <v>3521102000</v>
          </cell>
        </row>
        <row r="152">
          <cell r="B152" t="str">
            <v>3521102000</v>
          </cell>
        </row>
        <row r="153">
          <cell r="B153" t="str">
            <v>3521102000</v>
          </cell>
        </row>
        <row r="154">
          <cell r="B154" t="str">
            <v>3521102000</v>
          </cell>
        </row>
        <row r="155">
          <cell r="B155" t="str">
            <v>3521102000</v>
          </cell>
        </row>
        <row r="156">
          <cell r="B156" t="str">
            <v>3521102000</v>
          </cell>
        </row>
        <row r="157">
          <cell r="B157" t="str">
            <v>3521102000</v>
          </cell>
        </row>
        <row r="158">
          <cell r="B158" t="str">
            <v>3521102000</v>
          </cell>
        </row>
        <row r="159">
          <cell r="B159" t="str">
            <v>3521102000</v>
          </cell>
        </row>
        <row r="160">
          <cell r="B160" t="str">
            <v>3521102000</v>
          </cell>
        </row>
        <row r="161">
          <cell r="B161" t="str">
            <v>3521102000</v>
          </cell>
        </row>
        <row r="162">
          <cell r="B162" t="str">
            <v>3521102000</v>
          </cell>
        </row>
        <row r="163">
          <cell r="B163" t="str">
            <v>3521102000</v>
          </cell>
        </row>
        <row r="164">
          <cell r="B164" t="str">
            <v>3521102000</v>
          </cell>
        </row>
        <row r="165">
          <cell r="B165" t="str">
            <v>3521102000</v>
          </cell>
        </row>
        <row r="166">
          <cell r="B166" t="str">
            <v>3521102000</v>
          </cell>
        </row>
        <row r="167">
          <cell r="B167" t="str">
            <v>3521102000</v>
          </cell>
        </row>
        <row r="168">
          <cell r="B168" t="str">
            <v>3521102000</v>
          </cell>
        </row>
        <row r="169">
          <cell r="B169" t="str">
            <v>3521102000</v>
          </cell>
        </row>
        <row r="170">
          <cell r="B170" t="str">
            <v>3521102000</v>
          </cell>
        </row>
        <row r="171">
          <cell r="B171" t="str">
            <v>3521102000</v>
          </cell>
        </row>
        <row r="172">
          <cell r="B172" t="str">
            <v>3521102000</v>
          </cell>
        </row>
        <row r="173">
          <cell r="B173" t="str">
            <v>3521102000</v>
          </cell>
        </row>
        <row r="174">
          <cell r="B174" t="str">
            <v>3521102000</v>
          </cell>
        </row>
        <row r="175">
          <cell r="B175" t="str">
            <v>3521102000</v>
          </cell>
        </row>
        <row r="176">
          <cell r="B176" t="str">
            <v>3521102000</v>
          </cell>
        </row>
        <row r="177">
          <cell r="B177" t="str">
            <v>3521102000</v>
          </cell>
        </row>
        <row r="178">
          <cell r="B178" t="str">
            <v>3521102000</v>
          </cell>
        </row>
        <row r="179">
          <cell r="B179" t="str">
            <v>3521102000</v>
          </cell>
        </row>
        <row r="180">
          <cell r="B180" t="str">
            <v>3521102000</v>
          </cell>
        </row>
        <row r="181">
          <cell r="B181" t="str">
            <v>3521102000</v>
          </cell>
        </row>
        <row r="182">
          <cell r="B182" t="str">
            <v>3521102000</v>
          </cell>
        </row>
        <row r="183">
          <cell r="B183" t="str">
            <v>3521102000</v>
          </cell>
        </row>
        <row r="184">
          <cell r="B184" t="str">
            <v>3521102000</v>
          </cell>
        </row>
        <row r="185">
          <cell r="B185" t="str">
            <v>3521102000</v>
          </cell>
        </row>
        <row r="186">
          <cell r="B186" t="str">
            <v>3521102000</v>
          </cell>
        </row>
        <row r="187">
          <cell r="B187" t="str">
            <v>3521102000</v>
          </cell>
        </row>
        <row r="188">
          <cell r="B188" t="str">
            <v>3521102000</v>
          </cell>
        </row>
        <row r="189">
          <cell r="B189" t="str">
            <v>3521102000</v>
          </cell>
        </row>
        <row r="190">
          <cell r="B190" t="str">
            <v>3521102000</v>
          </cell>
        </row>
        <row r="191">
          <cell r="B191" t="str">
            <v>3521102000</v>
          </cell>
        </row>
        <row r="192">
          <cell r="B192" t="str">
            <v>3521102000</v>
          </cell>
        </row>
        <row r="193">
          <cell r="B193" t="str">
            <v>3521102000</v>
          </cell>
        </row>
        <row r="194">
          <cell r="B194" t="str">
            <v>3521102000</v>
          </cell>
        </row>
        <row r="195">
          <cell r="B195" t="str">
            <v>3521102000</v>
          </cell>
        </row>
        <row r="196">
          <cell r="B196" t="str">
            <v>3521102000</v>
          </cell>
        </row>
        <row r="197">
          <cell r="B197" t="str">
            <v>3521102000</v>
          </cell>
        </row>
        <row r="198">
          <cell r="B198" t="str">
            <v>3521102000</v>
          </cell>
        </row>
        <row r="199">
          <cell r="B199" t="str">
            <v>3521102000</v>
          </cell>
        </row>
        <row r="200">
          <cell r="B200" t="str">
            <v>3521102000</v>
          </cell>
        </row>
        <row r="201">
          <cell r="B201" t="str">
            <v>3521102000</v>
          </cell>
        </row>
        <row r="202">
          <cell r="B202" t="str">
            <v>3521102000</v>
          </cell>
        </row>
        <row r="203">
          <cell r="B203" t="str">
            <v>3521102000</v>
          </cell>
        </row>
        <row r="204">
          <cell r="B204" t="str">
            <v>3521102000</v>
          </cell>
        </row>
        <row r="205">
          <cell r="B205" t="str">
            <v>3521102000</v>
          </cell>
        </row>
        <row r="206">
          <cell r="B206" t="str">
            <v>3521102000</v>
          </cell>
        </row>
        <row r="207">
          <cell r="B207" t="str">
            <v>3521102000</v>
          </cell>
        </row>
        <row r="208">
          <cell r="B208" t="str">
            <v>3521102000</v>
          </cell>
        </row>
        <row r="209">
          <cell r="B209" t="str">
            <v>3521102000</v>
          </cell>
        </row>
        <row r="210">
          <cell r="B210" t="str">
            <v>3521102000</v>
          </cell>
        </row>
        <row r="211">
          <cell r="B211" t="str">
            <v>3521102000</v>
          </cell>
        </row>
        <row r="212">
          <cell r="B212" t="str">
            <v>3521102000</v>
          </cell>
        </row>
        <row r="213">
          <cell r="B213" t="str">
            <v>3521102000</v>
          </cell>
        </row>
        <row r="214">
          <cell r="B214" t="str">
            <v>3521102000</v>
          </cell>
        </row>
        <row r="215">
          <cell r="B215" t="str">
            <v>3521102000</v>
          </cell>
        </row>
        <row r="216">
          <cell r="B216" t="str">
            <v>3521102000</v>
          </cell>
        </row>
        <row r="217">
          <cell r="B217" t="str">
            <v>3521102000</v>
          </cell>
        </row>
        <row r="218">
          <cell r="B218" t="str">
            <v>3521102000</v>
          </cell>
        </row>
        <row r="219">
          <cell r="B219" t="str">
            <v>3521102000</v>
          </cell>
        </row>
        <row r="220">
          <cell r="B220" t="str">
            <v>3521102000</v>
          </cell>
        </row>
        <row r="221">
          <cell r="B221" t="str">
            <v>3521102000</v>
          </cell>
        </row>
        <row r="222">
          <cell r="B222" t="str">
            <v>3521102000</v>
          </cell>
        </row>
        <row r="223">
          <cell r="B223" t="str">
            <v>3521102000</v>
          </cell>
        </row>
        <row r="224">
          <cell r="B224" t="str">
            <v>3521102000</v>
          </cell>
        </row>
        <row r="225">
          <cell r="B225" t="str">
            <v>3521102000</v>
          </cell>
        </row>
        <row r="226">
          <cell r="B226" t="str">
            <v>3521102000</v>
          </cell>
        </row>
        <row r="227">
          <cell r="B227" t="str">
            <v>3521102000</v>
          </cell>
        </row>
        <row r="228">
          <cell r="B228" t="str">
            <v>3521102000</v>
          </cell>
        </row>
        <row r="229">
          <cell r="B229" t="str">
            <v>3521102000</v>
          </cell>
        </row>
        <row r="230">
          <cell r="B230" t="str">
            <v>3521102000</v>
          </cell>
        </row>
        <row r="231">
          <cell r="B231" t="str">
            <v>3521102000</v>
          </cell>
        </row>
        <row r="232">
          <cell r="B232" t="str">
            <v>3521102000</v>
          </cell>
        </row>
        <row r="233">
          <cell r="B233" t="str">
            <v>3521102000</v>
          </cell>
        </row>
        <row r="234">
          <cell r="B234" t="str">
            <v>3521102000</v>
          </cell>
        </row>
        <row r="235">
          <cell r="B235" t="str">
            <v>3521102000</v>
          </cell>
        </row>
        <row r="236">
          <cell r="B236" t="str">
            <v>3521102000</v>
          </cell>
        </row>
        <row r="237">
          <cell r="B237" t="str">
            <v>3521102000</v>
          </cell>
        </row>
        <row r="238">
          <cell r="B238" t="str">
            <v>3521102000</v>
          </cell>
        </row>
        <row r="239">
          <cell r="B239" t="str">
            <v>3521102000</v>
          </cell>
        </row>
        <row r="240">
          <cell r="B240" t="str">
            <v>3521102000</v>
          </cell>
        </row>
        <row r="241">
          <cell r="B241" t="str">
            <v>3521102000</v>
          </cell>
        </row>
        <row r="242">
          <cell r="B242" t="str">
            <v>3521102000</v>
          </cell>
        </row>
        <row r="243">
          <cell r="B243" t="str">
            <v>3521102000</v>
          </cell>
        </row>
        <row r="244">
          <cell r="B244" t="str">
            <v>3521102000</v>
          </cell>
        </row>
        <row r="245">
          <cell r="B245" t="str">
            <v>3521102000</v>
          </cell>
        </row>
        <row r="246">
          <cell r="B246" t="str">
            <v>3521102000</v>
          </cell>
        </row>
        <row r="247">
          <cell r="B247" t="str">
            <v>3521102000</v>
          </cell>
        </row>
        <row r="248">
          <cell r="B248" t="str">
            <v>3521102000</v>
          </cell>
        </row>
        <row r="249">
          <cell r="B249" t="str">
            <v>3521102000</v>
          </cell>
        </row>
        <row r="250">
          <cell r="B250" t="str">
            <v>3521102000</v>
          </cell>
        </row>
        <row r="251">
          <cell r="B251" t="str">
            <v>3521102000</v>
          </cell>
        </row>
        <row r="252">
          <cell r="B252" t="str">
            <v>3521102000</v>
          </cell>
        </row>
        <row r="253">
          <cell r="B253" t="str">
            <v>3521102000</v>
          </cell>
        </row>
        <row r="254">
          <cell r="B254" t="str">
            <v>3521102000</v>
          </cell>
        </row>
        <row r="255">
          <cell r="B255" t="str">
            <v>3521201000</v>
          </cell>
        </row>
        <row r="256">
          <cell r="B256" t="str">
            <v>3521201000</v>
          </cell>
        </row>
        <row r="257">
          <cell r="B257" t="str">
            <v>3521201000</v>
          </cell>
        </row>
        <row r="258">
          <cell r="B258" t="str">
            <v>3521201000</v>
          </cell>
        </row>
        <row r="259">
          <cell r="B259" t="str">
            <v>3521201000</v>
          </cell>
        </row>
        <row r="260">
          <cell r="B260" t="str">
            <v>3521201000</v>
          </cell>
        </row>
      </sheetData>
      <sheetData sheetId="1">
        <row r="2">
          <cell r="B2" t="str">
            <v>3520811000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260"/>
  <sheetViews>
    <sheetView workbookViewId="0">
      <selection activeCell="B1" sqref="B1"/>
    </sheetView>
  </sheetViews>
  <sheetFormatPr defaultRowHeight="12.75" x14ac:dyDescent="0.2"/>
  <cols>
    <col min="2" max="2" width="20" bestFit="1" customWidth="1"/>
    <col min="3" max="3" width="27" bestFit="1" customWidth="1"/>
    <col min="4" max="4" width="10" bestFit="1" customWidth="1"/>
    <col min="5" max="5" width="14" bestFit="1" customWidth="1"/>
    <col min="6" max="6" width="12" bestFit="1" customWidth="1"/>
    <col min="7" max="7" width="18" bestFit="1" customWidth="1"/>
    <col min="8" max="8" width="13" bestFit="1" customWidth="1"/>
    <col min="9" max="9" width="14" bestFit="1" customWidth="1"/>
    <col min="10" max="10" width="12" bestFit="1" customWidth="1"/>
    <col min="11" max="11" width="9" bestFit="1" customWidth="1"/>
    <col min="12" max="12" width="18.42578125" customWidth="1"/>
    <col min="13" max="13" width="12" bestFit="1" customWidth="1"/>
  </cols>
  <sheetData>
    <row r="1" spans="1:13" ht="38.25" x14ac:dyDescent="0.2">
      <c r="A1" s="4" t="s">
        <v>84</v>
      </c>
      <c r="B1" s="1" t="s">
        <v>44</v>
      </c>
      <c r="C1" s="1" t="s">
        <v>45</v>
      </c>
      <c r="D1" s="3" t="s">
        <v>46</v>
      </c>
      <c r="E1" s="3" t="s">
        <v>47</v>
      </c>
      <c r="F1" s="3" t="s">
        <v>48</v>
      </c>
      <c r="G1" s="1" t="s">
        <v>49</v>
      </c>
      <c r="H1" s="1" t="s">
        <v>50</v>
      </c>
      <c r="I1" s="1" t="s">
        <v>51</v>
      </c>
      <c r="J1" s="1" t="s">
        <v>52</v>
      </c>
      <c r="K1" s="3" t="s">
        <v>53</v>
      </c>
      <c r="L1" s="1" t="s">
        <v>54</v>
      </c>
      <c r="M1" s="1" t="s">
        <v>55</v>
      </c>
    </row>
    <row r="2" spans="1:13" ht="14.1" customHeight="1" x14ac:dyDescent="0.2">
      <c r="A2" s="5" t="s">
        <v>83</v>
      </c>
      <c r="B2" t="s">
        <v>27</v>
      </c>
      <c r="C2" t="s">
        <v>28</v>
      </c>
      <c r="D2" t="s">
        <v>19</v>
      </c>
      <c r="E2" s="2">
        <v>965719.09</v>
      </c>
      <c r="F2" t="s">
        <v>4</v>
      </c>
      <c r="G2" t="s">
        <v>29</v>
      </c>
      <c r="H2" t="s">
        <v>30</v>
      </c>
      <c r="I2" t="s">
        <v>0</v>
      </c>
      <c r="J2" t="s">
        <v>65</v>
      </c>
      <c r="K2" t="s">
        <v>18</v>
      </c>
      <c r="L2" t="s">
        <v>0</v>
      </c>
      <c r="M2" t="s">
        <v>65</v>
      </c>
    </row>
    <row r="3" spans="1:13" ht="14.1" customHeight="1" x14ac:dyDescent="0.2">
      <c r="A3" s="5" t="s">
        <v>83</v>
      </c>
      <c r="B3" t="s">
        <v>8</v>
      </c>
      <c r="C3" t="s">
        <v>9</v>
      </c>
      <c r="D3" t="s">
        <v>10</v>
      </c>
      <c r="E3" s="2">
        <v>342958.58</v>
      </c>
      <c r="F3" t="s">
        <v>4</v>
      </c>
      <c r="G3" t="s">
        <v>59</v>
      </c>
      <c r="H3" t="s">
        <v>11</v>
      </c>
      <c r="I3" t="s">
        <v>0</v>
      </c>
      <c r="J3" t="s">
        <v>60</v>
      </c>
      <c r="K3" t="s">
        <v>6</v>
      </c>
      <c r="L3" t="s">
        <v>0</v>
      </c>
      <c r="M3" t="s">
        <v>60</v>
      </c>
    </row>
    <row r="4" spans="1:13" ht="14.1" customHeight="1" x14ac:dyDescent="0.2">
      <c r="A4" s="5" t="s">
        <v>83</v>
      </c>
      <c r="B4" t="s">
        <v>12</v>
      </c>
      <c r="C4" t="s">
        <v>0</v>
      </c>
      <c r="D4" t="s">
        <v>19</v>
      </c>
      <c r="E4" s="2">
        <v>5540</v>
      </c>
      <c r="F4" t="s">
        <v>4</v>
      </c>
      <c r="G4" t="s">
        <v>42</v>
      </c>
      <c r="H4" t="s">
        <v>43</v>
      </c>
      <c r="I4" t="s">
        <v>0</v>
      </c>
      <c r="J4" t="s">
        <v>67</v>
      </c>
      <c r="K4" t="s">
        <v>18</v>
      </c>
      <c r="L4" t="s">
        <v>0</v>
      </c>
      <c r="M4" t="s">
        <v>67</v>
      </c>
    </row>
    <row r="5" spans="1:13" ht="14.1" customHeight="1" x14ac:dyDescent="0.2">
      <c r="A5" s="5" t="s">
        <v>83</v>
      </c>
      <c r="B5" t="s">
        <v>12</v>
      </c>
      <c r="C5" t="s">
        <v>0</v>
      </c>
      <c r="D5" t="s">
        <v>19</v>
      </c>
      <c r="E5" s="2">
        <v>1796504.62</v>
      </c>
      <c r="F5" t="s">
        <v>4</v>
      </c>
      <c r="G5" t="s">
        <v>40</v>
      </c>
      <c r="H5" t="s">
        <v>41</v>
      </c>
      <c r="I5" t="s">
        <v>0</v>
      </c>
      <c r="J5" t="s">
        <v>66</v>
      </c>
      <c r="K5" t="s">
        <v>18</v>
      </c>
      <c r="L5" t="s">
        <v>0</v>
      </c>
      <c r="M5" t="s">
        <v>66</v>
      </c>
    </row>
    <row r="6" spans="1:13" ht="14.1" customHeight="1" x14ac:dyDescent="0.2">
      <c r="A6" s="5" t="s">
        <v>83</v>
      </c>
      <c r="B6" t="s">
        <v>12</v>
      </c>
      <c r="C6" t="s">
        <v>0</v>
      </c>
      <c r="D6" t="s">
        <v>19</v>
      </c>
      <c r="E6" s="2">
        <v>1344000</v>
      </c>
      <c r="F6" t="s">
        <v>4</v>
      </c>
      <c r="G6" t="s">
        <v>38</v>
      </c>
      <c r="H6" t="s">
        <v>39</v>
      </c>
      <c r="I6" t="s">
        <v>0</v>
      </c>
      <c r="J6" t="s">
        <v>66</v>
      </c>
      <c r="K6" t="s">
        <v>18</v>
      </c>
      <c r="L6" t="s">
        <v>0</v>
      </c>
      <c r="M6" t="s">
        <v>66</v>
      </c>
    </row>
    <row r="7" spans="1:13" ht="14.1" customHeight="1" x14ac:dyDescent="0.2">
      <c r="A7" s="5" t="s">
        <v>83</v>
      </c>
      <c r="B7" t="s">
        <v>12</v>
      </c>
      <c r="C7" t="s">
        <v>0</v>
      </c>
      <c r="D7" t="s">
        <v>19</v>
      </c>
      <c r="E7" s="2">
        <v>1644250</v>
      </c>
      <c r="F7" t="s">
        <v>4</v>
      </c>
      <c r="G7" t="s">
        <v>36</v>
      </c>
      <c r="H7" t="s">
        <v>37</v>
      </c>
      <c r="I7" t="s">
        <v>0</v>
      </c>
      <c r="J7" t="s">
        <v>66</v>
      </c>
      <c r="K7" t="s">
        <v>18</v>
      </c>
      <c r="L7" t="s">
        <v>0</v>
      </c>
      <c r="M7" t="s">
        <v>66</v>
      </c>
    </row>
    <row r="8" spans="1:13" ht="14.1" customHeight="1" x14ac:dyDescent="0.2">
      <c r="A8" s="5" t="s">
        <v>83</v>
      </c>
      <c r="B8" t="s">
        <v>12</v>
      </c>
      <c r="C8" t="s">
        <v>9</v>
      </c>
      <c r="D8" t="s">
        <v>10</v>
      </c>
      <c r="E8" s="2">
        <v>1828944.11</v>
      </c>
      <c r="F8" t="s">
        <v>4</v>
      </c>
      <c r="G8" t="s">
        <v>63</v>
      </c>
      <c r="H8" t="s">
        <v>16</v>
      </c>
      <c r="I8" t="s">
        <v>0</v>
      </c>
      <c r="J8" t="s">
        <v>60</v>
      </c>
      <c r="K8" t="s">
        <v>6</v>
      </c>
      <c r="L8" t="s">
        <v>0</v>
      </c>
      <c r="M8" t="s">
        <v>60</v>
      </c>
    </row>
    <row r="9" spans="1:13" ht="14.1" customHeight="1" x14ac:dyDescent="0.2">
      <c r="A9" s="5" t="s">
        <v>83</v>
      </c>
      <c r="B9" t="s">
        <v>12</v>
      </c>
      <c r="C9" t="s">
        <v>9</v>
      </c>
      <c r="D9" t="s">
        <v>10</v>
      </c>
      <c r="E9" s="2">
        <v>602734.06999999995</v>
      </c>
      <c r="F9" t="s">
        <v>4</v>
      </c>
      <c r="G9" t="s">
        <v>61</v>
      </c>
      <c r="H9" t="s">
        <v>13</v>
      </c>
      <c r="I9" t="s">
        <v>0</v>
      </c>
      <c r="J9" t="s">
        <v>60</v>
      </c>
      <c r="K9" t="s">
        <v>6</v>
      </c>
      <c r="L9" t="s">
        <v>0</v>
      </c>
      <c r="M9" t="s">
        <v>60</v>
      </c>
    </row>
    <row r="10" spans="1:13" ht="14.1" customHeight="1" x14ac:dyDescent="0.2">
      <c r="A10" s="5" t="s">
        <v>83</v>
      </c>
      <c r="B10" t="s">
        <v>31</v>
      </c>
      <c r="C10" t="s">
        <v>0</v>
      </c>
      <c r="D10" t="s">
        <v>19</v>
      </c>
      <c r="E10" s="2">
        <v>2082255</v>
      </c>
      <c r="F10" t="s">
        <v>4</v>
      </c>
      <c r="G10" t="s">
        <v>34</v>
      </c>
      <c r="H10" t="s">
        <v>35</v>
      </c>
      <c r="I10" t="s">
        <v>0</v>
      </c>
      <c r="J10" t="s">
        <v>57</v>
      </c>
      <c r="K10" t="s">
        <v>18</v>
      </c>
      <c r="L10" t="s">
        <v>0</v>
      </c>
      <c r="M10" t="s">
        <v>57</v>
      </c>
    </row>
    <row r="11" spans="1:13" ht="14.1" customHeight="1" x14ac:dyDescent="0.2">
      <c r="A11" s="5" t="s">
        <v>83</v>
      </c>
      <c r="B11" t="s">
        <v>31</v>
      </c>
      <c r="C11" t="s">
        <v>26</v>
      </c>
      <c r="D11" t="s">
        <v>19</v>
      </c>
      <c r="E11" s="2">
        <v>1147986.17</v>
      </c>
      <c r="F11" t="s">
        <v>4</v>
      </c>
      <c r="G11" t="s">
        <v>32</v>
      </c>
      <c r="H11" t="s">
        <v>33</v>
      </c>
      <c r="I11" t="s">
        <v>0</v>
      </c>
      <c r="J11" t="s">
        <v>56</v>
      </c>
      <c r="K11" t="s">
        <v>18</v>
      </c>
      <c r="L11" t="s">
        <v>0</v>
      </c>
      <c r="M11" t="s">
        <v>56</v>
      </c>
    </row>
    <row r="12" spans="1:13" ht="14.1" customHeight="1" x14ac:dyDescent="0.2">
      <c r="A12" s="5" t="s">
        <v>83</v>
      </c>
      <c r="B12" t="s">
        <v>1</v>
      </c>
      <c r="C12" t="s">
        <v>2</v>
      </c>
      <c r="D12" t="s">
        <v>3</v>
      </c>
      <c r="E12" s="2">
        <v>2500</v>
      </c>
      <c r="F12" t="s">
        <v>4</v>
      </c>
      <c r="G12" t="s">
        <v>0</v>
      </c>
      <c r="H12" t="s">
        <v>7</v>
      </c>
      <c r="I12" t="s">
        <v>0</v>
      </c>
      <c r="J12" t="s">
        <v>58</v>
      </c>
      <c r="K12" t="s">
        <v>6</v>
      </c>
      <c r="L12" t="s">
        <v>2</v>
      </c>
      <c r="M12" t="s">
        <v>58</v>
      </c>
    </row>
    <row r="13" spans="1:13" ht="14.1" customHeight="1" x14ac:dyDescent="0.2">
      <c r="A13" s="5" t="s">
        <v>83</v>
      </c>
      <c r="B13" t="s">
        <v>1</v>
      </c>
      <c r="C13" t="s">
        <v>2</v>
      </c>
      <c r="D13" t="s">
        <v>3</v>
      </c>
      <c r="E13" s="2">
        <v>65590.48</v>
      </c>
      <c r="F13" t="s">
        <v>4</v>
      </c>
      <c r="G13" t="s">
        <v>0</v>
      </c>
      <c r="H13" t="s">
        <v>7</v>
      </c>
      <c r="I13" t="s">
        <v>0</v>
      </c>
      <c r="J13" t="s">
        <v>56</v>
      </c>
      <c r="K13" t="s">
        <v>6</v>
      </c>
      <c r="L13" t="s">
        <v>2</v>
      </c>
      <c r="M13" t="s">
        <v>56</v>
      </c>
    </row>
    <row r="14" spans="1:13" ht="14.1" customHeight="1" x14ac:dyDescent="0.2">
      <c r="A14" s="5" t="s">
        <v>83</v>
      </c>
      <c r="B14" t="s">
        <v>1</v>
      </c>
      <c r="C14" t="s">
        <v>2</v>
      </c>
      <c r="D14" t="s">
        <v>3</v>
      </c>
      <c r="E14" s="2">
        <v>65590.48</v>
      </c>
      <c r="F14" t="s">
        <v>4</v>
      </c>
      <c r="G14" t="s">
        <v>0</v>
      </c>
      <c r="H14" t="s">
        <v>7</v>
      </c>
      <c r="I14" t="s">
        <v>0</v>
      </c>
      <c r="J14" t="s">
        <v>56</v>
      </c>
      <c r="K14" t="s">
        <v>6</v>
      </c>
      <c r="L14" t="s">
        <v>2</v>
      </c>
      <c r="M14" t="s">
        <v>56</v>
      </c>
    </row>
    <row r="15" spans="1:13" ht="14.1" customHeight="1" x14ac:dyDescent="0.2">
      <c r="A15" s="5" t="s">
        <v>83</v>
      </c>
      <c r="B15" t="s">
        <v>1</v>
      </c>
      <c r="C15" t="s">
        <v>2</v>
      </c>
      <c r="D15" t="s">
        <v>3</v>
      </c>
      <c r="E15" s="2">
        <v>55499.62</v>
      </c>
      <c r="F15" t="s">
        <v>4</v>
      </c>
      <c r="G15" t="s">
        <v>0</v>
      </c>
      <c r="H15" t="s">
        <v>7</v>
      </c>
      <c r="I15" t="s">
        <v>0</v>
      </c>
      <c r="J15" t="s">
        <v>56</v>
      </c>
      <c r="K15" t="s">
        <v>6</v>
      </c>
      <c r="L15" t="s">
        <v>2</v>
      </c>
      <c r="M15" t="s">
        <v>56</v>
      </c>
    </row>
    <row r="16" spans="1:13" ht="14.1" customHeight="1" x14ac:dyDescent="0.2">
      <c r="A16" s="5" t="s">
        <v>83</v>
      </c>
      <c r="B16" t="s">
        <v>1</v>
      </c>
      <c r="C16" t="s">
        <v>2</v>
      </c>
      <c r="D16" t="s">
        <v>3</v>
      </c>
      <c r="E16" s="2">
        <v>55499.62</v>
      </c>
      <c r="F16" t="s">
        <v>4</v>
      </c>
      <c r="G16" t="s">
        <v>0</v>
      </c>
      <c r="H16" t="s">
        <v>7</v>
      </c>
      <c r="I16" t="s">
        <v>0</v>
      </c>
      <c r="J16" t="s">
        <v>56</v>
      </c>
      <c r="K16" t="s">
        <v>6</v>
      </c>
      <c r="L16" t="s">
        <v>2</v>
      </c>
      <c r="M16" t="s">
        <v>56</v>
      </c>
    </row>
    <row r="17" spans="1:13" ht="14.1" customHeight="1" x14ac:dyDescent="0.2">
      <c r="A17" s="5" t="s">
        <v>83</v>
      </c>
      <c r="B17" t="s">
        <v>1</v>
      </c>
      <c r="C17" t="s">
        <v>2</v>
      </c>
      <c r="D17" t="s">
        <v>3</v>
      </c>
      <c r="E17" s="2">
        <v>86332.79</v>
      </c>
      <c r="F17" t="s">
        <v>4</v>
      </c>
      <c r="G17" t="s">
        <v>0</v>
      </c>
      <c r="H17" t="s">
        <v>7</v>
      </c>
      <c r="I17" t="s">
        <v>0</v>
      </c>
      <c r="J17" t="s">
        <v>56</v>
      </c>
      <c r="K17" t="s">
        <v>6</v>
      </c>
      <c r="L17" t="s">
        <v>2</v>
      </c>
      <c r="M17" t="s">
        <v>56</v>
      </c>
    </row>
    <row r="18" spans="1:13" ht="14.1" customHeight="1" x14ac:dyDescent="0.2">
      <c r="A18" s="5" t="s">
        <v>83</v>
      </c>
      <c r="B18" t="s">
        <v>1</v>
      </c>
      <c r="C18" t="s">
        <v>2</v>
      </c>
      <c r="D18" t="s">
        <v>3</v>
      </c>
      <c r="E18" s="2">
        <v>86332.79</v>
      </c>
      <c r="F18" t="s">
        <v>4</v>
      </c>
      <c r="G18" t="s">
        <v>0</v>
      </c>
      <c r="H18" t="s">
        <v>7</v>
      </c>
      <c r="I18" t="s">
        <v>0</v>
      </c>
      <c r="J18" t="s">
        <v>56</v>
      </c>
      <c r="K18" t="s">
        <v>6</v>
      </c>
      <c r="L18" t="s">
        <v>2</v>
      </c>
      <c r="M18" t="s">
        <v>56</v>
      </c>
    </row>
    <row r="19" spans="1:13" ht="14.1" customHeight="1" x14ac:dyDescent="0.2">
      <c r="A19" s="5" t="s">
        <v>83</v>
      </c>
      <c r="B19" t="s">
        <v>1</v>
      </c>
      <c r="C19" t="s">
        <v>2</v>
      </c>
      <c r="D19" t="s">
        <v>3</v>
      </c>
      <c r="E19" s="2">
        <v>4872.26</v>
      </c>
      <c r="F19" t="s">
        <v>4</v>
      </c>
      <c r="G19" t="s">
        <v>0</v>
      </c>
      <c r="H19" t="s">
        <v>7</v>
      </c>
      <c r="I19" t="s">
        <v>0</v>
      </c>
      <c r="J19" t="s">
        <v>56</v>
      </c>
      <c r="K19" t="s">
        <v>6</v>
      </c>
      <c r="L19" t="s">
        <v>2</v>
      </c>
      <c r="M19" t="s">
        <v>56</v>
      </c>
    </row>
    <row r="20" spans="1:13" ht="14.1" customHeight="1" x14ac:dyDescent="0.2">
      <c r="A20" s="5" t="s">
        <v>83</v>
      </c>
      <c r="B20" t="s">
        <v>1</v>
      </c>
      <c r="C20" t="s">
        <v>2</v>
      </c>
      <c r="D20" t="s">
        <v>3</v>
      </c>
      <c r="E20" s="2">
        <v>328.47</v>
      </c>
      <c r="F20" t="s">
        <v>4</v>
      </c>
      <c r="G20" t="s">
        <v>0</v>
      </c>
      <c r="H20" t="s">
        <v>7</v>
      </c>
      <c r="I20" t="s">
        <v>0</v>
      </c>
      <c r="J20" t="s">
        <v>56</v>
      </c>
      <c r="K20" t="s">
        <v>6</v>
      </c>
      <c r="L20" t="s">
        <v>2</v>
      </c>
      <c r="M20" t="s">
        <v>56</v>
      </c>
    </row>
    <row r="21" spans="1:13" ht="14.1" customHeight="1" x14ac:dyDescent="0.2">
      <c r="A21" s="5" t="s">
        <v>83</v>
      </c>
      <c r="B21" t="s">
        <v>1</v>
      </c>
      <c r="C21" t="s">
        <v>2</v>
      </c>
      <c r="D21" t="s">
        <v>3</v>
      </c>
      <c r="E21" s="2">
        <v>328.47</v>
      </c>
      <c r="F21" t="s">
        <v>4</v>
      </c>
      <c r="G21" t="s">
        <v>0</v>
      </c>
      <c r="H21" t="s">
        <v>7</v>
      </c>
      <c r="I21" t="s">
        <v>0</v>
      </c>
      <c r="J21" t="s">
        <v>56</v>
      </c>
      <c r="K21" t="s">
        <v>6</v>
      </c>
      <c r="L21" t="s">
        <v>2</v>
      </c>
      <c r="M21" t="s">
        <v>56</v>
      </c>
    </row>
    <row r="22" spans="1:13" ht="14.1" customHeight="1" x14ac:dyDescent="0.2">
      <c r="A22" s="5" t="s">
        <v>83</v>
      </c>
      <c r="B22" t="s">
        <v>1</v>
      </c>
      <c r="C22" t="s">
        <v>2</v>
      </c>
      <c r="D22" t="s">
        <v>3</v>
      </c>
      <c r="E22" s="2">
        <v>4744.5200000000004</v>
      </c>
      <c r="F22" t="s">
        <v>4</v>
      </c>
      <c r="G22" t="s">
        <v>0</v>
      </c>
      <c r="H22" t="s">
        <v>7</v>
      </c>
      <c r="I22" t="s">
        <v>0</v>
      </c>
      <c r="J22" t="s">
        <v>57</v>
      </c>
      <c r="K22" t="s">
        <v>6</v>
      </c>
      <c r="L22" t="s">
        <v>2</v>
      </c>
      <c r="M22" t="s">
        <v>57</v>
      </c>
    </row>
    <row r="23" spans="1:13" ht="14.1" customHeight="1" x14ac:dyDescent="0.2">
      <c r="A23" s="5" t="s">
        <v>83</v>
      </c>
      <c r="B23" t="s">
        <v>1</v>
      </c>
      <c r="C23" t="s">
        <v>2</v>
      </c>
      <c r="D23" t="s">
        <v>3</v>
      </c>
      <c r="E23" s="2">
        <v>12234.68</v>
      </c>
      <c r="F23" t="s">
        <v>4</v>
      </c>
      <c r="G23" t="s">
        <v>0</v>
      </c>
      <c r="H23" t="s">
        <v>7</v>
      </c>
      <c r="I23" t="s">
        <v>0</v>
      </c>
      <c r="J23" t="s">
        <v>56</v>
      </c>
      <c r="K23" t="s">
        <v>6</v>
      </c>
      <c r="L23" t="s">
        <v>2</v>
      </c>
      <c r="M23" t="s">
        <v>56</v>
      </c>
    </row>
    <row r="24" spans="1:13" ht="14.1" customHeight="1" x14ac:dyDescent="0.2">
      <c r="A24" s="5" t="s">
        <v>83</v>
      </c>
      <c r="B24" t="s">
        <v>1</v>
      </c>
      <c r="C24" t="s">
        <v>2</v>
      </c>
      <c r="D24" t="s">
        <v>3</v>
      </c>
      <c r="E24" s="2">
        <v>51016.61</v>
      </c>
      <c r="F24" t="s">
        <v>4</v>
      </c>
      <c r="G24" t="s">
        <v>0</v>
      </c>
      <c r="H24" t="s">
        <v>7</v>
      </c>
      <c r="I24" t="s">
        <v>0</v>
      </c>
      <c r="J24" t="s">
        <v>56</v>
      </c>
      <c r="K24" t="s">
        <v>6</v>
      </c>
      <c r="L24" t="s">
        <v>2</v>
      </c>
      <c r="M24" t="s">
        <v>56</v>
      </c>
    </row>
    <row r="25" spans="1:13" ht="14.1" customHeight="1" x14ac:dyDescent="0.2">
      <c r="A25" s="5" t="s">
        <v>83</v>
      </c>
      <c r="B25" t="s">
        <v>1</v>
      </c>
      <c r="C25" t="s">
        <v>2</v>
      </c>
      <c r="D25" t="s">
        <v>3</v>
      </c>
      <c r="E25" s="2">
        <v>69025.3</v>
      </c>
      <c r="F25" t="s">
        <v>4</v>
      </c>
      <c r="G25" t="s">
        <v>0</v>
      </c>
      <c r="H25" t="s">
        <v>7</v>
      </c>
      <c r="I25" t="s">
        <v>0</v>
      </c>
      <c r="J25" t="s">
        <v>56</v>
      </c>
      <c r="K25" t="s">
        <v>6</v>
      </c>
      <c r="L25" t="s">
        <v>2</v>
      </c>
      <c r="M25" t="s">
        <v>56</v>
      </c>
    </row>
    <row r="26" spans="1:13" ht="14.1" customHeight="1" x14ac:dyDescent="0.2">
      <c r="A26" s="5" t="s">
        <v>83</v>
      </c>
      <c r="B26" t="s">
        <v>1</v>
      </c>
      <c r="C26" t="s">
        <v>2</v>
      </c>
      <c r="D26" t="s">
        <v>3</v>
      </c>
      <c r="E26" s="2">
        <v>252937.53</v>
      </c>
      <c r="F26" t="s">
        <v>4</v>
      </c>
      <c r="G26" t="s">
        <v>0</v>
      </c>
      <c r="H26" t="s">
        <v>7</v>
      </c>
      <c r="I26" t="s">
        <v>0</v>
      </c>
      <c r="J26" t="s">
        <v>57</v>
      </c>
      <c r="K26" t="s">
        <v>6</v>
      </c>
      <c r="L26" t="s">
        <v>2</v>
      </c>
      <c r="M26" t="s">
        <v>57</v>
      </c>
    </row>
    <row r="27" spans="1:13" ht="14.1" customHeight="1" x14ac:dyDescent="0.2">
      <c r="A27" s="5" t="s">
        <v>83</v>
      </c>
      <c r="B27" t="s">
        <v>1</v>
      </c>
      <c r="C27" t="s">
        <v>2</v>
      </c>
      <c r="D27" t="s">
        <v>3</v>
      </c>
      <c r="E27" s="2">
        <v>11873.68</v>
      </c>
      <c r="F27" t="s">
        <v>4</v>
      </c>
      <c r="G27" t="s">
        <v>0</v>
      </c>
      <c r="H27" t="s">
        <v>7</v>
      </c>
      <c r="I27" t="s">
        <v>0</v>
      </c>
      <c r="J27" t="s">
        <v>56</v>
      </c>
      <c r="K27" t="s">
        <v>6</v>
      </c>
      <c r="L27" t="s">
        <v>2</v>
      </c>
      <c r="M27" t="s">
        <v>56</v>
      </c>
    </row>
    <row r="28" spans="1:13" ht="14.1" customHeight="1" x14ac:dyDescent="0.2">
      <c r="A28" s="5" t="s">
        <v>83</v>
      </c>
      <c r="B28" t="s">
        <v>1</v>
      </c>
      <c r="C28" t="s">
        <v>2</v>
      </c>
      <c r="D28" t="s">
        <v>3</v>
      </c>
      <c r="E28" s="2">
        <v>37171.53</v>
      </c>
      <c r="F28" t="s">
        <v>4</v>
      </c>
      <c r="G28" t="s">
        <v>0</v>
      </c>
      <c r="H28" t="s">
        <v>7</v>
      </c>
      <c r="I28" t="s">
        <v>0</v>
      </c>
      <c r="J28" t="s">
        <v>56</v>
      </c>
      <c r="K28" t="s">
        <v>6</v>
      </c>
      <c r="L28" t="s">
        <v>2</v>
      </c>
      <c r="M28" t="s">
        <v>56</v>
      </c>
    </row>
    <row r="29" spans="1:13" ht="14.1" customHeight="1" x14ac:dyDescent="0.2">
      <c r="A29" s="5" t="s">
        <v>83</v>
      </c>
      <c r="B29" t="s">
        <v>1</v>
      </c>
      <c r="C29" t="s">
        <v>2</v>
      </c>
      <c r="D29" t="s">
        <v>3</v>
      </c>
      <c r="E29" s="2">
        <v>43105.84</v>
      </c>
      <c r="F29" t="s">
        <v>4</v>
      </c>
      <c r="G29" t="s">
        <v>0</v>
      </c>
      <c r="H29" t="s">
        <v>7</v>
      </c>
      <c r="I29" t="s">
        <v>0</v>
      </c>
      <c r="J29" t="s">
        <v>57</v>
      </c>
      <c r="K29" t="s">
        <v>6</v>
      </c>
      <c r="L29" t="s">
        <v>2</v>
      </c>
      <c r="M29" t="s">
        <v>57</v>
      </c>
    </row>
    <row r="30" spans="1:13" ht="14.1" customHeight="1" x14ac:dyDescent="0.2">
      <c r="A30" s="5" t="s">
        <v>83</v>
      </c>
      <c r="B30" t="s">
        <v>1</v>
      </c>
      <c r="C30" t="s">
        <v>2</v>
      </c>
      <c r="D30" t="s">
        <v>3</v>
      </c>
      <c r="E30" s="2">
        <v>10182.49</v>
      </c>
      <c r="F30" t="s">
        <v>4</v>
      </c>
      <c r="G30" t="s">
        <v>0</v>
      </c>
      <c r="H30" t="s">
        <v>7</v>
      </c>
      <c r="I30" t="s">
        <v>0</v>
      </c>
      <c r="J30" t="s">
        <v>57</v>
      </c>
      <c r="K30" t="s">
        <v>6</v>
      </c>
      <c r="L30" t="s">
        <v>2</v>
      </c>
      <c r="M30" t="s">
        <v>57</v>
      </c>
    </row>
    <row r="31" spans="1:13" ht="14.1" customHeight="1" x14ac:dyDescent="0.2">
      <c r="A31" s="5" t="s">
        <v>83</v>
      </c>
      <c r="B31" t="s">
        <v>1</v>
      </c>
      <c r="C31" t="s">
        <v>2</v>
      </c>
      <c r="D31" t="s">
        <v>3</v>
      </c>
      <c r="E31" s="2">
        <v>6307.49</v>
      </c>
      <c r="F31" t="s">
        <v>4</v>
      </c>
      <c r="G31" t="s">
        <v>0</v>
      </c>
      <c r="H31" t="s">
        <v>7</v>
      </c>
      <c r="I31" t="s">
        <v>0</v>
      </c>
      <c r="J31" t="s">
        <v>57</v>
      </c>
      <c r="K31" t="s">
        <v>6</v>
      </c>
      <c r="L31" t="s">
        <v>2</v>
      </c>
      <c r="M31" t="s">
        <v>57</v>
      </c>
    </row>
    <row r="32" spans="1:13" ht="14.1" customHeight="1" x14ac:dyDescent="0.2">
      <c r="A32" s="5" t="s">
        <v>83</v>
      </c>
      <c r="B32" t="s">
        <v>1</v>
      </c>
      <c r="C32" t="s">
        <v>2</v>
      </c>
      <c r="D32" t="s">
        <v>3</v>
      </c>
      <c r="E32" s="2">
        <v>3394.16</v>
      </c>
      <c r="F32" t="s">
        <v>4</v>
      </c>
      <c r="G32" t="s">
        <v>0</v>
      </c>
      <c r="H32" t="s">
        <v>7</v>
      </c>
      <c r="I32" t="s">
        <v>0</v>
      </c>
      <c r="J32" t="s">
        <v>57</v>
      </c>
      <c r="K32" t="s">
        <v>6</v>
      </c>
      <c r="L32" t="s">
        <v>2</v>
      </c>
      <c r="M32" t="s">
        <v>57</v>
      </c>
    </row>
    <row r="33" spans="1:13" ht="14.1" customHeight="1" x14ac:dyDescent="0.2">
      <c r="A33" s="5" t="s">
        <v>83</v>
      </c>
      <c r="B33" t="s">
        <v>1</v>
      </c>
      <c r="C33" t="s">
        <v>2</v>
      </c>
      <c r="D33" t="s">
        <v>3</v>
      </c>
      <c r="E33" s="2">
        <v>1425.55</v>
      </c>
      <c r="F33" t="s">
        <v>4</v>
      </c>
      <c r="G33" t="s">
        <v>0</v>
      </c>
      <c r="H33" t="s">
        <v>7</v>
      </c>
      <c r="I33" t="s">
        <v>0</v>
      </c>
      <c r="J33" t="s">
        <v>57</v>
      </c>
      <c r="K33" t="s">
        <v>6</v>
      </c>
      <c r="L33" t="s">
        <v>2</v>
      </c>
      <c r="M33" t="s">
        <v>57</v>
      </c>
    </row>
    <row r="34" spans="1:13" ht="14.1" customHeight="1" x14ac:dyDescent="0.2">
      <c r="A34" s="5" t="s">
        <v>83</v>
      </c>
      <c r="B34" t="s">
        <v>1</v>
      </c>
      <c r="C34" t="s">
        <v>2</v>
      </c>
      <c r="D34" t="s">
        <v>3</v>
      </c>
      <c r="E34" s="2">
        <v>10171.17</v>
      </c>
      <c r="F34" t="s">
        <v>4</v>
      </c>
      <c r="G34" t="s">
        <v>0</v>
      </c>
      <c r="H34" t="s">
        <v>7</v>
      </c>
      <c r="I34" t="s">
        <v>0</v>
      </c>
      <c r="J34" t="s">
        <v>57</v>
      </c>
      <c r="K34" t="s">
        <v>6</v>
      </c>
      <c r="L34" t="s">
        <v>2</v>
      </c>
      <c r="M34" t="s">
        <v>57</v>
      </c>
    </row>
    <row r="35" spans="1:13" ht="14.1" customHeight="1" x14ac:dyDescent="0.2">
      <c r="A35" s="5" t="s">
        <v>83</v>
      </c>
      <c r="B35" t="s">
        <v>1</v>
      </c>
      <c r="C35" t="s">
        <v>2</v>
      </c>
      <c r="D35" t="s">
        <v>3</v>
      </c>
      <c r="E35" s="2">
        <v>6.95</v>
      </c>
      <c r="F35" t="s">
        <v>4</v>
      </c>
      <c r="G35" t="s">
        <v>0</v>
      </c>
      <c r="H35" t="s">
        <v>7</v>
      </c>
      <c r="I35" t="s">
        <v>0</v>
      </c>
      <c r="J35" t="s">
        <v>57</v>
      </c>
      <c r="K35" t="s">
        <v>6</v>
      </c>
      <c r="L35" t="s">
        <v>2</v>
      </c>
      <c r="M35" t="s">
        <v>57</v>
      </c>
    </row>
    <row r="36" spans="1:13" ht="14.1" customHeight="1" x14ac:dyDescent="0.2">
      <c r="A36" s="5" t="s">
        <v>83</v>
      </c>
      <c r="B36" t="s">
        <v>1</v>
      </c>
      <c r="C36" t="s">
        <v>2</v>
      </c>
      <c r="D36" t="s">
        <v>3</v>
      </c>
      <c r="E36" s="2">
        <v>113039.59</v>
      </c>
      <c r="F36" t="s">
        <v>4</v>
      </c>
      <c r="G36" t="s">
        <v>0</v>
      </c>
      <c r="H36" t="s">
        <v>7</v>
      </c>
      <c r="I36" t="s">
        <v>0</v>
      </c>
      <c r="J36" t="s">
        <v>57</v>
      </c>
      <c r="K36" t="s">
        <v>6</v>
      </c>
      <c r="L36" t="s">
        <v>2</v>
      </c>
      <c r="M36" t="s">
        <v>57</v>
      </c>
    </row>
    <row r="37" spans="1:13" ht="14.1" customHeight="1" x14ac:dyDescent="0.2">
      <c r="A37" s="5" t="s">
        <v>83</v>
      </c>
      <c r="B37" t="s">
        <v>1</v>
      </c>
      <c r="C37" t="s">
        <v>2</v>
      </c>
      <c r="D37" t="s">
        <v>3</v>
      </c>
      <c r="E37" s="2">
        <v>46.58</v>
      </c>
      <c r="F37" t="s">
        <v>4</v>
      </c>
      <c r="G37" t="s">
        <v>0</v>
      </c>
      <c r="H37" t="s">
        <v>7</v>
      </c>
      <c r="I37" t="s">
        <v>0</v>
      </c>
      <c r="J37" t="s">
        <v>57</v>
      </c>
      <c r="K37" t="s">
        <v>6</v>
      </c>
      <c r="L37" t="s">
        <v>2</v>
      </c>
      <c r="M37" t="s">
        <v>57</v>
      </c>
    </row>
    <row r="38" spans="1:13" ht="14.1" customHeight="1" x14ac:dyDescent="0.2">
      <c r="A38" s="5" t="s">
        <v>83</v>
      </c>
      <c r="B38" t="s">
        <v>1</v>
      </c>
      <c r="C38" t="s">
        <v>2</v>
      </c>
      <c r="D38" t="s">
        <v>3</v>
      </c>
      <c r="E38" s="2">
        <v>355414.37</v>
      </c>
      <c r="F38" t="s">
        <v>4</v>
      </c>
      <c r="G38" t="s">
        <v>0</v>
      </c>
      <c r="H38" t="s">
        <v>7</v>
      </c>
      <c r="I38" t="s">
        <v>0</v>
      </c>
      <c r="J38" t="s">
        <v>57</v>
      </c>
      <c r="K38" t="s">
        <v>6</v>
      </c>
      <c r="L38" t="s">
        <v>2</v>
      </c>
      <c r="M38" t="s">
        <v>57</v>
      </c>
    </row>
    <row r="39" spans="1:13" ht="14.1" customHeight="1" x14ac:dyDescent="0.2">
      <c r="A39" s="5" t="s">
        <v>83</v>
      </c>
      <c r="B39" t="s">
        <v>1</v>
      </c>
      <c r="C39" t="s">
        <v>2</v>
      </c>
      <c r="D39" t="s">
        <v>3</v>
      </c>
      <c r="E39" s="2">
        <v>7751.41</v>
      </c>
      <c r="F39" t="s">
        <v>4</v>
      </c>
      <c r="G39" t="s">
        <v>0</v>
      </c>
      <c r="H39" t="s">
        <v>7</v>
      </c>
      <c r="I39" t="s">
        <v>0</v>
      </c>
      <c r="J39" t="s">
        <v>56</v>
      </c>
      <c r="K39" t="s">
        <v>6</v>
      </c>
      <c r="L39" t="s">
        <v>2</v>
      </c>
      <c r="M39" t="s">
        <v>56</v>
      </c>
    </row>
    <row r="40" spans="1:13" ht="14.1" customHeight="1" x14ac:dyDescent="0.2">
      <c r="A40" s="5" t="s">
        <v>83</v>
      </c>
      <c r="B40" t="s">
        <v>1</v>
      </c>
      <c r="C40" t="s">
        <v>2</v>
      </c>
      <c r="D40" t="s">
        <v>3</v>
      </c>
      <c r="E40" s="2">
        <v>47780.959999999999</v>
      </c>
      <c r="F40" t="s">
        <v>4</v>
      </c>
      <c r="G40" t="s">
        <v>0</v>
      </c>
      <c r="H40" t="s">
        <v>7</v>
      </c>
      <c r="I40" t="s">
        <v>0</v>
      </c>
      <c r="J40" t="s">
        <v>57</v>
      </c>
      <c r="K40" t="s">
        <v>6</v>
      </c>
      <c r="L40" t="s">
        <v>2</v>
      </c>
      <c r="M40" t="s">
        <v>57</v>
      </c>
    </row>
    <row r="41" spans="1:13" ht="14.1" customHeight="1" x14ac:dyDescent="0.2">
      <c r="A41" s="5" t="s">
        <v>83</v>
      </c>
      <c r="B41" t="s">
        <v>1</v>
      </c>
      <c r="C41" t="s">
        <v>2</v>
      </c>
      <c r="D41" t="s">
        <v>3</v>
      </c>
      <c r="E41" s="2">
        <v>1459953.16</v>
      </c>
      <c r="F41" t="s">
        <v>4</v>
      </c>
      <c r="G41" t="s">
        <v>0</v>
      </c>
      <c r="H41" t="s">
        <v>7</v>
      </c>
      <c r="I41" t="s">
        <v>0</v>
      </c>
      <c r="J41" t="s">
        <v>57</v>
      </c>
      <c r="K41" t="s">
        <v>6</v>
      </c>
      <c r="L41" t="s">
        <v>2</v>
      </c>
      <c r="M41" t="s">
        <v>57</v>
      </c>
    </row>
    <row r="42" spans="1:13" ht="14.1" customHeight="1" x14ac:dyDescent="0.2">
      <c r="A42" s="5" t="s">
        <v>83</v>
      </c>
      <c r="B42" t="s">
        <v>1</v>
      </c>
      <c r="C42" t="s">
        <v>2</v>
      </c>
      <c r="D42" t="s">
        <v>3</v>
      </c>
      <c r="E42" s="2">
        <v>89376.02</v>
      </c>
      <c r="F42" t="s">
        <v>4</v>
      </c>
      <c r="G42" t="s">
        <v>0</v>
      </c>
      <c r="H42" t="s">
        <v>7</v>
      </c>
      <c r="I42" t="s">
        <v>0</v>
      </c>
      <c r="J42" t="s">
        <v>57</v>
      </c>
      <c r="K42" t="s">
        <v>6</v>
      </c>
      <c r="L42" t="s">
        <v>2</v>
      </c>
      <c r="M42" t="s">
        <v>57</v>
      </c>
    </row>
    <row r="43" spans="1:13" ht="14.1" customHeight="1" x14ac:dyDescent="0.2">
      <c r="A43" s="5" t="s">
        <v>83</v>
      </c>
      <c r="B43" t="s">
        <v>1</v>
      </c>
      <c r="C43" t="s">
        <v>2</v>
      </c>
      <c r="D43" t="s">
        <v>3</v>
      </c>
      <c r="E43" s="2">
        <v>329829.03000000003</v>
      </c>
      <c r="F43" t="s">
        <v>4</v>
      </c>
      <c r="G43" t="s">
        <v>0</v>
      </c>
      <c r="H43" t="s">
        <v>7</v>
      </c>
      <c r="I43" t="s">
        <v>0</v>
      </c>
      <c r="J43" t="s">
        <v>57</v>
      </c>
      <c r="K43" t="s">
        <v>6</v>
      </c>
      <c r="L43" t="s">
        <v>2</v>
      </c>
      <c r="M43" t="s">
        <v>57</v>
      </c>
    </row>
    <row r="44" spans="1:13" ht="14.1" customHeight="1" x14ac:dyDescent="0.2">
      <c r="A44" s="5" t="s">
        <v>83</v>
      </c>
      <c r="B44" t="s">
        <v>1</v>
      </c>
      <c r="C44" t="s">
        <v>2</v>
      </c>
      <c r="D44" t="s">
        <v>3</v>
      </c>
      <c r="E44" s="2">
        <v>74426.399999999994</v>
      </c>
      <c r="F44" t="s">
        <v>4</v>
      </c>
      <c r="G44" t="s">
        <v>0</v>
      </c>
      <c r="H44" t="s">
        <v>7</v>
      </c>
      <c r="I44" t="s">
        <v>0</v>
      </c>
      <c r="J44" t="s">
        <v>57</v>
      </c>
      <c r="K44" t="s">
        <v>6</v>
      </c>
      <c r="L44" t="s">
        <v>2</v>
      </c>
      <c r="M44" t="s">
        <v>57</v>
      </c>
    </row>
    <row r="45" spans="1:13" ht="14.1" customHeight="1" x14ac:dyDescent="0.2">
      <c r="A45" s="5" t="s">
        <v>83</v>
      </c>
      <c r="B45" t="s">
        <v>1</v>
      </c>
      <c r="C45" t="s">
        <v>2</v>
      </c>
      <c r="D45" t="s">
        <v>3</v>
      </c>
      <c r="E45" s="2">
        <v>49668.959999999999</v>
      </c>
      <c r="F45" t="s">
        <v>4</v>
      </c>
      <c r="G45" t="s">
        <v>0</v>
      </c>
      <c r="H45" t="s">
        <v>7</v>
      </c>
      <c r="I45" t="s">
        <v>0</v>
      </c>
      <c r="J45" t="s">
        <v>57</v>
      </c>
      <c r="K45" t="s">
        <v>6</v>
      </c>
      <c r="L45" t="s">
        <v>2</v>
      </c>
      <c r="M45" t="s">
        <v>57</v>
      </c>
    </row>
    <row r="46" spans="1:13" ht="14.1" customHeight="1" x14ac:dyDescent="0.2">
      <c r="A46" s="5" t="s">
        <v>83</v>
      </c>
      <c r="B46" t="s">
        <v>1</v>
      </c>
      <c r="C46" t="s">
        <v>2</v>
      </c>
      <c r="D46" t="s">
        <v>3</v>
      </c>
      <c r="E46" s="2">
        <v>612786.89</v>
      </c>
      <c r="F46" t="s">
        <v>4</v>
      </c>
      <c r="G46" t="s">
        <v>0</v>
      </c>
      <c r="H46" t="s">
        <v>7</v>
      </c>
      <c r="I46" t="s">
        <v>0</v>
      </c>
      <c r="J46" t="s">
        <v>57</v>
      </c>
      <c r="K46" t="s">
        <v>6</v>
      </c>
      <c r="L46" t="s">
        <v>2</v>
      </c>
      <c r="M46" t="s">
        <v>57</v>
      </c>
    </row>
    <row r="47" spans="1:13" ht="14.1" customHeight="1" x14ac:dyDescent="0.2">
      <c r="A47" s="5" t="s">
        <v>83</v>
      </c>
      <c r="B47" t="s">
        <v>1</v>
      </c>
      <c r="C47" t="s">
        <v>2</v>
      </c>
      <c r="D47" t="s">
        <v>3</v>
      </c>
      <c r="E47" s="2">
        <v>191848.13</v>
      </c>
      <c r="F47" t="s">
        <v>4</v>
      </c>
      <c r="G47" t="s">
        <v>0</v>
      </c>
      <c r="H47" t="s">
        <v>7</v>
      </c>
      <c r="I47" t="s">
        <v>0</v>
      </c>
      <c r="J47" t="s">
        <v>57</v>
      </c>
      <c r="K47" t="s">
        <v>6</v>
      </c>
      <c r="L47" t="s">
        <v>2</v>
      </c>
      <c r="M47" t="s">
        <v>57</v>
      </c>
    </row>
    <row r="48" spans="1:13" ht="14.1" customHeight="1" x14ac:dyDescent="0.2">
      <c r="A48" s="5" t="s">
        <v>83</v>
      </c>
      <c r="B48" t="s">
        <v>1</v>
      </c>
      <c r="C48" t="s">
        <v>2</v>
      </c>
      <c r="D48" t="s">
        <v>3</v>
      </c>
      <c r="E48" s="2">
        <v>360215.47</v>
      </c>
      <c r="F48" t="s">
        <v>4</v>
      </c>
      <c r="G48" t="s">
        <v>0</v>
      </c>
      <c r="H48" t="s">
        <v>7</v>
      </c>
      <c r="I48" t="s">
        <v>0</v>
      </c>
      <c r="J48" t="s">
        <v>57</v>
      </c>
      <c r="K48" t="s">
        <v>6</v>
      </c>
      <c r="L48" t="s">
        <v>2</v>
      </c>
      <c r="M48" t="s">
        <v>57</v>
      </c>
    </row>
    <row r="49" spans="1:13" ht="14.1" customHeight="1" x14ac:dyDescent="0.2">
      <c r="A49" s="5" t="s">
        <v>83</v>
      </c>
      <c r="B49" t="s">
        <v>1</v>
      </c>
      <c r="C49" t="s">
        <v>2</v>
      </c>
      <c r="D49" t="s">
        <v>3</v>
      </c>
      <c r="E49" s="2">
        <v>146818.75</v>
      </c>
      <c r="F49" t="s">
        <v>4</v>
      </c>
      <c r="G49" t="s">
        <v>0</v>
      </c>
      <c r="H49" t="s">
        <v>7</v>
      </c>
      <c r="I49" t="s">
        <v>0</v>
      </c>
      <c r="J49" t="s">
        <v>57</v>
      </c>
      <c r="K49" t="s">
        <v>6</v>
      </c>
      <c r="L49" t="s">
        <v>2</v>
      </c>
      <c r="M49" t="s">
        <v>57</v>
      </c>
    </row>
    <row r="50" spans="1:13" ht="14.1" customHeight="1" x14ac:dyDescent="0.2">
      <c r="A50" s="5" t="s">
        <v>83</v>
      </c>
      <c r="B50" t="s">
        <v>1</v>
      </c>
      <c r="C50" t="s">
        <v>2</v>
      </c>
      <c r="D50" t="s">
        <v>3</v>
      </c>
      <c r="E50" s="2">
        <v>45032.56</v>
      </c>
      <c r="F50" t="s">
        <v>4</v>
      </c>
      <c r="G50" t="s">
        <v>0</v>
      </c>
      <c r="H50" t="s">
        <v>7</v>
      </c>
      <c r="I50" t="s">
        <v>0</v>
      </c>
      <c r="J50" t="s">
        <v>57</v>
      </c>
      <c r="K50" t="s">
        <v>6</v>
      </c>
      <c r="L50" t="s">
        <v>2</v>
      </c>
      <c r="M50" t="s">
        <v>57</v>
      </c>
    </row>
    <row r="51" spans="1:13" ht="14.1" customHeight="1" x14ac:dyDescent="0.2">
      <c r="A51" s="5" t="s">
        <v>83</v>
      </c>
      <c r="B51" t="s">
        <v>1</v>
      </c>
      <c r="C51" t="s">
        <v>2</v>
      </c>
      <c r="D51" t="s">
        <v>3</v>
      </c>
      <c r="E51" s="2">
        <v>144838.16</v>
      </c>
      <c r="F51" t="s">
        <v>4</v>
      </c>
      <c r="G51" t="s">
        <v>0</v>
      </c>
      <c r="H51" t="s">
        <v>7</v>
      </c>
      <c r="I51" t="s">
        <v>0</v>
      </c>
      <c r="J51" t="s">
        <v>57</v>
      </c>
      <c r="K51" t="s">
        <v>6</v>
      </c>
      <c r="L51" t="s">
        <v>2</v>
      </c>
      <c r="M51" t="s">
        <v>57</v>
      </c>
    </row>
    <row r="52" spans="1:13" ht="14.1" customHeight="1" x14ac:dyDescent="0.2">
      <c r="A52" s="5" t="s">
        <v>83</v>
      </c>
      <c r="B52" t="s">
        <v>1</v>
      </c>
      <c r="C52" t="s">
        <v>2</v>
      </c>
      <c r="D52" t="s">
        <v>3</v>
      </c>
      <c r="E52" s="2">
        <v>13167.1</v>
      </c>
      <c r="F52" t="s">
        <v>4</v>
      </c>
      <c r="G52" t="s">
        <v>0</v>
      </c>
      <c r="H52" t="s">
        <v>7</v>
      </c>
      <c r="I52" t="s">
        <v>0</v>
      </c>
      <c r="J52" t="s">
        <v>57</v>
      </c>
      <c r="K52" t="s">
        <v>6</v>
      </c>
      <c r="L52" t="s">
        <v>2</v>
      </c>
      <c r="M52" t="s">
        <v>57</v>
      </c>
    </row>
    <row r="53" spans="1:13" ht="14.1" customHeight="1" x14ac:dyDescent="0.2">
      <c r="A53" s="5" t="s">
        <v>83</v>
      </c>
      <c r="B53" t="s">
        <v>1</v>
      </c>
      <c r="C53" t="s">
        <v>2</v>
      </c>
      <c r="D53" t="s">
        <v>3</v>
      </c>
      <c r="E53" s="2">
        <v>2735.79</v>
      </c>
      <c r="F53" t="s">
        <v>4</v>
      </c>
      <c r="G53" t="s">
        <v>0</v>
      </c>
      <c r="H53" t="s">
        <v>7</v>
      </c>
      <c r="I53" t="s">
        <v>0</v>
      </c>
      <c r="J53" t="s">
        <v>57</v>
      </c>
      <c r="K53" t="s">
        <v>6</v>
      </c>
      <c r="L53" t="s">
        <v>2</v>
      </c>
      <c r="M53" t="s">
        <v>57</v>
      </c>
    </row>
    <row r="54" spans="1:13" ht="14.1" customHeight="1" x14ac:dyDescent="0.2">
      <c r="A54" s="5" t="s">
        <v>83</v>
      </c>
      <c r="B54" t="s">
        <v>1</v>
      </c>
      <c r="C54" t="s">
        <v>2</v>
      </c>
      <c r="D54" t="s">
        <v>3</v>
      </c>
      <c r="E54" s="2">
        <v>2565.35</v>
      </c>
      <c r="F54" t="s">
        <v>4</v>
      </c>
      <c r="G54" t="s">
        <v>0</v>
      </c>
      <c r="H54" t="s">
        <v>7</v>
      </c>
      <c r="I54" t="s">
        <v>0</v>
      </c>
      <c r="J54" t="s">
        <v>57</v>
      </c>
      <c r="K54" t="s">
        <v>6</v>
      </c>
      <c r="L54" t="s">
        <v>2</v>
      </c>
      <c r="M54" t="s">
        <v>57</v>
      </c>
    </row>
    <row r="55" spans="1:13" ht="14.1" customHeight="1" x14ac:dyDescent="0.2">
      <c r="A55" s="5" t="s">
        <v>83</v>
      </c>
      <c r="B55" t="s">
        <v>1</v>
      </c>
      <c r="C55" t="s">
        <v>2</v>
      </c>
      <c r="D55" t="s">
        <v>3</v>
      </c>
      <c r="E55" s="2">
        <v>4.07</v>
      </c>
      <c r="F55" t="s">
        <v>4</v>
      </c>
      <c r="G55" t="s">
        <v>0</v>
      </c>
      <c r="H55" t="s">
        <v>7</v>
      </c>
      <c r="I55" t="s">
        <v>0</v>
      </c>
      <c r="J55" t="s">
        <v>56</v>
      </c>
      <c r="K55" t="s">
        <v>6</v>
      </c>
      <c r="L55" t="s">
        <v>2</v>
      </c>
      <c r="M55" t="s">
        <v>56</v>
      </c>
    </row>
    <row r="56" spans="1:13" ht="14.1" customHeight="1" x14ac:dyDescent="0.2">
      <c r="A56" s="5" t="s">
        <v>83</v>
      </c>
      <c r="B56" t="s">
        <v>1</v>
      </c>
      <c r="C56" t="s">
        <v>2</v>
      </c>
      <c r="D56" t="s">
        <v>3</v>
      </c>
      <c r="E56" s="2">
        <v>5.66</v>
      </c>
      <c r="F56" t="s">
        <v>4</v>
      </c>
      <c r="G56" t="s">
        <v>0</v>
      </c>
      <c r="H56" t="s">
        <v>7</v>
      </c>
      <c r="I56" t="s">
        <v>0</v>
      </c>
      <c r="J56" t="s">
        <v>56</v>
      </c>
      <c r="K56" t="s">
        <v>6</v>
      </c>
      <c r="L56" t="s">
        <v>2</v>
      </c>
      <c r="M56" t="s">
        <v>56</v>
      </c>
    </row>
    <row r="57" spans="1:13" ht="14.1" customHeight="1" x14ac:dyDescent="0.2">
      <c r="A57" s="5" t="s">
        <v>83</v>
      </c>
      <c r="B57" t="s">
        <v>1</v>
      </c>
      <c r="C57" t="s">
        <v>2</v>
      </c>
      <c r="D57" t="s">
        <v>3</v>
      </c>
      <c r="E57" s="2">
        <v>2.04</v>
      </c>
      <c r="F57" t="s">
        <v>4</v>
      </c>
      <c r="G57" t="s">
        <v>0</v>
      </c>
      <c r="H57" t="s">
        <v>7</v>
      </c>
      <c r="I57" t="s">
        <v>0</v>
      </c>
      <c r="J57" t="s">
        <v>56</v>
      </c>
      <c r="K57" t="s">
        <v>6</v>
      </c>
      <c r="L57" t="s">
        <v>2</v>
      </c>
      <c r="M57" t="s">
        <v>56</v>
      </c>
    </row>
    <row r="58" spans="1:13" ht="14.1" customHeight="1" x14ac:dyDescent="0.2">
      <c r="A58" s="5" t="s">
        <v>83</v>
      </c>
      <c r="B58" t="s">
        <v>1</v>
      </c>
      <c r="C58" t="s">
        <v>2</v>
      </c>
      <c r="D58" t="s">
        <v>3</v>
      </c>
      <c r="E58" s="2">
        <v>2.04</v>
      </c>
      <c r="F58" t="s">
        <v>4</v>
      </c>
      <c r="G58" t="s">
        <v>0</v>
      </c>
      <c r="H58" t="s">
        <v>7</v>
      </c>
      <c r="I58" t="s">
        <v>0</v>
      </c>
      <c r="J58" t="s">
        <v>56</v>
      </c>
      <c r="K58" t="s">
        <v>6</v>
      </c>
      <c r="L58" t="s">
        <v>2</v>
      </c>
      <c r="M58" t="s">
        <v>56</v>
      </c>
    </row>
    <row r="59" spans="1:13" ht="14.1" customHeight="1" x14ac:dyDescent="0.2">
      <c r="A59" s="5" t="s">
        <v>83</v>
      </c>
      <c r="B59" t="s">
        <v>1</v>
      </c>
      <c r="C59" t="s">
        <v>2</v>
      </c>
      <c r="D59" t="s">
        <v>3</v>
      </c>
      <c r="E59" s="2">
        <v>2.04</v>
      </c>
      <c r="F59" t="s">
        <v>4</v>
      </c>
      <c r="G59" t="s">
        <v>0</v>
      </c>
      <c r="H59" t="s">
        <v>7</v>
      </c>
      <c r="I59" t="s">
        <v>0</v>
      </c>
      <c r="J59" t="s">
        <v>56</v>
      </c>
      <c r="K59" t="s">
        <v>6</v>
      </c>
      <c r="L59" t="s">
        <v>2</v>
      </c>
      <c r="M59" t="s">
        <v>56</v>
      </c>
    </row>
    <row r="60" spans="1:13" ht="14.1" customHeight="1" x14ac:dyDescent="0.2">
      <c r="A60" s="5" t="s">
        <v>83</v>
      </c>
      <c r="B60" t="s">
        <v>1</v>
      </c>
      <c r="C60" t="s">
        <v>2</v>
      </c>
      <c r="D60" t="s">
        <v>3</v>
      </c>
      <c r="E60" s="2">
        <v>2.04</v>
      </c>
      <c r="F60" t="s">
        <v>4</v>
      </c>
      <c r="G60" t="s">
        <v>0</v>
      </c>
      <c r="H60" t="s">
        <v>7</v>
      </c>
      <c r="I60" t="s">
        <v>0</v>
      </c>
      <c r="J60" t="s">
        <v>56</v>
      </c>
      <c r="K60" t="s">
        <v>6</v>
      </c>
      <c r="L60" t="s">
        <v>2</v>
      </c>
      <c r="M60" t="s">
        <v>56</v>
      </c>
    </row>
    <row r="61" spans="1:13" ht="14.1" customHeight="1" x14ac:dyDescent="0.2">
      <c r="A61" s="5" t="s">
        <v>83</v>
      </c>
      <c r="B61" t="s">
        <v>1</v>
      </c>
      <c r="C61" t="s">
        <v>2</v>
      </c>
      <c r="D61" t="s">
        <v>3</v>
      </c>
      <c r="E61" s="2">
        <v>2.04</v>
      </c>
      <c r="F61" t="s">
        <v>4</v>
      </c>
      <c r="G61" t="s">
        <v>0</v>
      </c>
      <c r="H61" t="s">
        <v>7</v>
      </c>
      <c r="I61" t="s">
        <v>0</v>
      </c>
      <c r="J61" t="s">
        <v>56</v>
      </c>
      <c r="K61" t="s">
        <v>6</v>
      </c>
      <c r="L61" t="s">
        <v>2</v>
      </c>
      <c r="M61" t="s">
        <v>56</v>
      </c>
    </row>
    <row r="62" spans="1:13" ht="14.1" customHeight="1" x14ac:dyDescent="0.2">
      <c r="A62" s="5" t="s">
        <v>83</v>
      </c>
      <c r="B62" t="s">
        <v>1</v>
      </c>
      <c r="C62" t="s">
        <v>2</v>
      </c>
      <c r="D62" t="s">
        <v>3</v>
      </c>
      <c r="E62" s="2">
        <v>2.04</v>
      </c>
      <c r="F62" t="s">
        <v>4</v>
      </c>
      <c r="G62" t="s">
        <v>0</v>
      </c>
      <c r="H62" t="s">
        <v>7</v>
      </c>
      <c r="I62" t="s">
        <v>0</v>
      </c>
      <c r="J62" t="s">
        <v>56</v>
      </c>
      <c r="K62" t="s">
        <v>6</v>
      </c>
      <c r="L62" t="s">
        <v>2</v>
      </c>
      <c r="M62" t="s">
        <v>56</v>
      </c>
    </row>
    <row r="63" spans="1:13" ht="14.1" customHeight="1" x14ac:dyDescent="0.2">
      <c r="A63" s="5" t="s">
        <v>83</v>
      </c>
      <c r="B63" t="s">
        <v>1</v>
      </c>
      <c r="C63" t="s">
        <v>2</v>
      </c>
      <c r="D63" t="s">
        <v>3</v>
      </c>
      <c r="E63" s="2">
        <v>47136.98</v>
      </c>
      <c r="F63" t="s">
        <v>4</v>
      </c>
      <c r="G63" t="s">
        <v>0</v>
      </c>
      <c r="H63" t="s">
        <v>7</v>
      </c>
      <c r="I63" t="s">
        <v>0</v>
      </c>
      <c r="J63" t="s">
        <v>57</v>
      </c>
      <c r="K63" t="s">
        <v>6</v>
      </c>
      <c r="L63" t="s">
        <v>2</v>
      </c>
      <c r="M63" t="s">
        <v>57</v>
      </c>
    </row>
    <row r="64" spans="1:13" ht="14.1" customHeight="1" x14ac:dyDescent="0.2">
      <c r="A64" s="5" t="s">
        <v>83</v>
      </c>
      <c r="B64" t="s">
        <v>1</v>
      </c>
      <c r="C64" t="s">
        <v>2</v>
      </c>
      <c r="D64" t="s">
        <v>3</v>
      </c>
      <c r="E64" s="2">
        <v>7206.68</v>
      </c>
      <c r="F64" t="s">
        <v>4</v>
      </c>
      <c r="G64" t="s">
        <v>0</v>
      </c>
      <c r="H64" t="s">
        <v>7</v>
      </c>
      <c r="I64" t="s">
        <v>0</v>
      </c>
      <c r="J64" t="s">
        <v>57</v>
      </c>
      <c r="K64" t="s">
        <v>6</v>
      </c>
      <c r="L64" t="s">
        <v>2</v>
      </c>
      <c r="M64" t="s">
        <v>57</v>
      </c>
    </row>
    <row r="65" spans="1:13" ht="14.1" customHeight="1" x14ac:dyDescent="0.2">
      <c r="A65" s="5" t="s">
        <v>83</v>
      </c>
      <c r="B65" t="s">
        <v>1</v>
      </c>
      <c r="C65" t="s">
        <v>2</v>
      </c>
      <c r="D65" t="s">
        <v>3</v>
      </c>
      <c r="E65" s="2">
        <v>7206.68</v>
      </c>
      <c r="F65" t="s">
        <v>4</v>
      </c>
      <c r="G65" t="s">
        <v>0</v>
      </c>
      <c r="H65" t="s">
        <v>7</v>
      </c>
      <c r="I65" t="s">
        <v>0</v>
      </c>
      <c r="J65" t="s">
        <v>57</v>
      </c>
      <c r="K65" t="s">
        <v>6</v>
      </c>
      <c r="L65" t="s">
        <v>2</v>
      </c>
      <c r="M65" t="s">
        <v>57</v>
      </c>
    </row>
    <row r="66" spans="1:13" ht="14.1" customHeight="1" x14ac:dyDescent="0.2">
      <c r="A66" s="5" t="s">
        <v>83</v>
      </c>
      <c r="B66" t="s">
        <v>1</v>
      </c>
      <c r="C66" t="s">
        <v>2</v>
      </c>
      <c r="D66" t="s">
        <v>3</v>
      </c>
      <c r="E66" s="2">
        <v>17816.75</v>
      </c>
      <c r="F66" t="s">
        <v>4</v>
      </c>
      <c r="G66" t="s">
        <v>0</v>
      </c>
      <c r="H66" t="s">
        <v>7</v>
      </c>
      <c r="I66" t="s">
        <v>0</v>
      </c>
      <c r="J66" t="s">
        <v>57</v>
      </c>
      <c r="K66" t="s">
        <v>6</v>
      </c>
      <c r="L66" t="s">
        <v>2</v>
      </c>
      <c r="M66" t="s">
        <v>57</v>
      </c>
    </row>
    <row r="67" spans="1:13" ht="14.1" customHeight="1" x14ac:dyDescent="0.2">
      <c r="A67" s="5" t="s">
        <v>83</v>
      </c>
      <c r="B67" t="s">
        <v>1</v>
      </c>
      <c r="C67" t="s">
        <v>2</v>
      </c>
      <c r="D67" t="s">
        <v>3</v>
      </c>
      <c r="E67" s="2">
        <v>25479.46</v>
      </c>
      <c r="F67" t="s">
        <v>4</v>
      </c>
      <c r="G67" t="s">
        <v>0</v>
      </c>
      <c r="H67" t="s">
        <v>7</v>
      </c>
      <c r="I67" t="s">
        <v>0</v>
      </c>
      <c r="J67" t="s">
        <v>57</v>
      </c>
      <c r="K67" t="s">
        <v>6</v>
      </c>
      <c r="L67" t="s">
        <v>2</v>
      </c>
      <c r="M67" t="s">
        <v>57</v>
      </c>
    </row>
    <row r="68" spans="1:13" ht="14.1" customHeight="1" x14ac:dyDescent="0.2">
      <c r="A68" s="5" t="s">
        <v>83</v>
      </c>
      <c r="B68" t="s">
        <v>1</v>
      </c>
      <c r="C68" t="s">
        <v>2</v>
      </c>
      <c r="D68" t="s">
        <v>3</v>
      </c>
      <c r="E68" s="2">
        <v>21232.880000000001</v>
      </c>
      <c r="F68" t="s">
        <v>4</v>
      </c>
      <c r="G68" t="s">
        <v>0</v>
      </c>
      <c r="H68" t="s">
        <v>7</v>
      </c>
      <c r="I68" t="s">
        <v>0</v>
      </c>
      <c r="J68" t="s">
        <v>57</v>
      </c>
      <c r="K68" t="s">
        <v>6</v>
      </c>
      <c r="L68" t="s">
        <v>2</v>
      </c>
      <c r="M68" t="s">
        <v>57</v>
      </c>
    </row>
    <row r="69" spans="1:13" ht="14.1" customHeight="1" x14ac:dyDescent="0.2">
      <c r="A69" s="5" t="s">
        <v>83</v>
      </c>
      <c r="B69" t="s">
        <v>1</v>
      </c>
      <c r="C69" t="s">
        <v>2</v>
      </c>
      <c r="D69" t="s">
        <v>3</v>
      </c>
      <c r="E69" s="2">
        <v>14947.95</v>
      </c>
      <c r="F69" t="s">
        <v>4</v>
      </c>
      <c r="G69" t="s">
        <v>0</v>
      </c>
      <c r="H69" t="s">
        <v>7</v>
      </c>
      <c r="I69" t="s">
        <v>0</v>
      </c>
      <c r="J69" t="s">
        <v>56</v>
      </c>
      <c r="K69" t="s">
        <v>6</v>
      </c>
      <c r="L69" t="s">
        <v>2</v>
      </c>
      <c r="M69" t="s">
        <v>56</v>
      </c>
    </row>
    <row r="70" spans="1:13" ht="14.1" customHeight="1" x14ac:dyDescent="0.2">
      <c r="A70" s="5" t="s">
        <v>83</v>
      </c>
      <c r="B70" t="s">
        <v>1</v>
      </c>
      <c r="C70" t="s">
        <v>2</v>
      </c>
      <c r="D70" t="s">
        <v>3</v>
      </c>
      <c r="E70" s="2">
        <v>17977.169999999998</v>
      </c>
      <c r="F70" t="s">
        <v>4</v>
      </c>
      <c r="G70" t="s">
        <v>0</v>
      </c>
      <c r="H70" t="s">
        <v>7</v>
      </c>
      <c r="I70" t="s">
        <v>0</v>
      </c>
      <c r="J70" t="s">
        <v>56</v>
      </c>
      <c r="K70" t="s">
        <v>6</v>
      </c>
      <c r="L70" t="s">
        <v>2</v>
      </c>
      <c r="M70" t="s">
        <v>56</v>
      </c>
    </row>
    <row r="71" spans="1:13" ht="14.1" customHeight="1" x14ac:dyDescent="0.2">
      <c r="A71" s="5" t="s">
        <v>83</v>
      </c>
      <c r="B71" t="s">
        <v>1</v>
      </c>
      <c r="C71" t="s">
        <v>2</v>
      </c>
      <c r="D71" t="s">
        <v>3</v>
      </c>
      <c r="E71" s="2">
        <v>136598.17000000001</v>
      </c>
      <c r="F71" t="s">
        <v>4</v>
      </c>
      <c r="G71" t="s">
        <v>0</v>
      </c>
      <c r="H71" t="s">
        <v>7</v>
      </c>
      <c r="I71" t="s">
        <v>0</v>
      </c>
      <c r="J71" t="s">
        <v>56</v>
      </c>
      <c r="K71" t="s">
        <v>6</v>
      </c>
      <c r="L71" t="s">
        <v>2</v>
      </c>
      <c r="M71" t="s">
        <v>56</v>
      </c>
    </row>
    <row r="72" spans="1:13" ht="14.1" customHeight="1" x14ac:dyDescent="0.2">
      <c r="A72" s="5" t="s">
        <v>83</v>
      </c>
      <c r="B72" t="s">
        <v>1</v>
      </c>
      <c r="C72" t="s">
        <v>2</v>
      </c>
      <c r="D72" t="s">
        <v>3</v>
      </c>
      <c r="E72" s="2">
        <v>1919.31</v>
      </c>
      <c r="F72" t="s">
        <v>4</v>
      </c>
      <c r="G72" t="s">
        <v>0</v>
      </c>
      <c r="H72" t="s">
        <v>7</v>
      </c>
      <c r="I72" t="s">
        <v>0</v>
      </c>
      <c r="J72" t="s">
        <v>56</v>
      </c>
      <c r="K72" t="s">
        <v>6</v>
      </c>
      <c r="L72" t="s">
        <v>2</v>
      </c>
      <c r="M72" t="s">
        <v>56</v>
      </c>
    </row>
    <row r="73" spans="1:13" ht="14.1" customHeight="1" x14ac:dyDescent="0.2">
      <c r="A73" s="5" t="s">
        <v>83</v>
      </c>
      <c r="B73" t="s">
        <v>1</v>
      </c>
      <c r="C73" t="s">
        <v>2</v>
      </c>
      <c r="D73" t="s">
        <v>3</v>
      </c>
      <c r="E73" s="2">
        <v>126571.89</v>
      </c>
      <c r="F73" t="s">
        <v>4</v>
      </c>
      <c r="G73" t="s">
        <v>0</v>
      </c>
      <c r="H73" t="s">
        <v>7</v>
      </c>
      <c r="I73" t="s">
        <v>0</v>
      </c>
      <c r="J73" t="s">
        <v>56</v>
      </c>
      <c r="K73" t="s">
        <v>6</v>
      </c>
      <c r="L73" t="s">
        <v>2</v>
      </c>
      <c r="M73" t="s">
        <v>56</v>
      </c>
    </row>
    <row r="74" spans="1:13" ht="14.1" customHeight="1" x14ac:dyDescent="0.2">
      <c r="A74" s="5" t="s">
        <v>83</v>
      </c>
      <c r="B74" t="s">
        <v>1</v>
      </c>
      <c r="C74" t="s">
        <v>2</v>
      </c>
      <c r="D74" t="s">
        <v>3</v>
      </c>
      <c r="E74" s="2">
        <v>2878.95</v>
      </c>
      <c r="F74" t="s">
        <v>4</v>
      </c>
      <c r="G74" t="s">
        <v>0</v>
      </c>
      <c r="H74" t="s">
        <v>7</v>
      </c>
      <c r="I74" t="s">
        <v>0</v>
      </c>
      <c r="J74" t="s">
        <v>56</v>
      </c>
      <c r="K74" t="s">
        <v>6</v>
      </c>
      <c r="L74" t="s">
        <v>2</v>
      </c>
      <c r="M74" t="s">
        <v>56</v>
      </c>
    </row>
    <row r="75" spans="1:13" ht="14.1" customHeight="1" x14ac:dyDescent="0.2">
      <c r="A75" s="5" t="s">
        <v>83</v>
      </c>
      <c r="B75" t="s">
        <v>1</v>
      </c>
      <c r="C75" t="s">
        <v>2</v>
      </c>
      <c r="D75" t="s">
        <v>3</v>
      </c>
      <c r="E75" s="2">
        <v>5934.95</v>
      </c>
      <c r="F75" t="s">
        <v>4</v>
      </c>
      <c r="G75" t="s">
        <v>0</v>
      </c>
      <c r="H75" t="s">
        <v>7</v>
      </c>
      <c r="I75" t="s">
        <v>0</v>
      </c>
      <c r="J75" t="s">
        <v>56</v>
      </c>
      <c r="K75" t="s">
        <v>6</v>
      </c>
      <c r="L75" t="s">
        <v>2</v>
      </c>
      <c r="M75" t="s">
        <v>56</v>
      </c>
    </row>
    <row r="76" spans="1:13" ht="14.1" customHeight="1" x14ac:dyDescent="0.2">
      <c r="A76" s="5" t="s">
        <v>83</v>
      </c>
      <c r="B76" t="s">
        <v>1</v>
      </c>
      <c r="C76" t="s">
        <v>2</v>
      </c>
      <c r="D76" t="s">
        <v>3</v>
      </c>
      <c r="E76" s="2">
        <v>10478.549999999999</v>
      </c>
      <c r="F76" t="s">
        <v>4</v>
      </c>
      <c r="G76" t="s">
        <v>0</v>
      </c>
      <c r="H76" t="s">
        <v>7</v>
      </c>
      <c r="I76" t="s">
        <v>0</v>
      </c>
      <c r="J76" t="s">
        <v>56</v>
      </c>
      <c r="K76" t="s">
        <v>6</v>
      </c>
      <c r="L76" t="s">
        <v>2</v>
      </c>
      <c r="M76" t="s">
        <v>56</v>
      </c>
    </row>
    <row r="77" spans="1:13" ht="14.1" customHeight="1" x14ac:dyDescent="0.2">
      <c r="A77" s="5" t="s">
        <v>83</v>
      </c>
      <c r="B77" t="s">
        <v>1</v>
      </c>
      <c r="C77" t="s">
        <v>2</v>
      </c>
      <c r="D77" t="s">
        <v>3</v>
      </c>
      <c r="E77" s="2">
        <v>415342.85</v>
      </c>
      <c r="F77" t="s">
        <v>4</v>
      </c>
      <c r="G77" t="s">
        <v>0</v>
      </c>
      <c r="H77" t="s">
        <v>7</v>
      </c>
      <c r="I77" t="s">
        <v>0</v>
      </c>
      <c r="J77" t="s">
        <v>56</v>
      </c>
      <c r="K77" t="s">
        <v>6</v>
      </c>
      <c r="L77" t="s">
        <v>2</v>
      </c>
      <c r="M77" t="s">
        <v>56</v>
      </c>
    </row>
    <row r="78" spans="1:13" ht="14.1" customHeight="1" x14ac:dyDescent="0.2">
      <c r="A78" s="5" t="s">
        <v>83</v>
      </c>
      <c r="B78" t="s">
        <v>1</v>
      </c>
      <c r="C78" t="s">
        <v>2</v>
      </c>
      <c r="D78" t="s">
        <v>3</v>
      </c>
      <c r="E78" s="2">
        <v>3398.82</v>
      </c>
      <c r="F78" t="s">
        <v>4</v>
      </c>
      <c r="G78" t="s">
        <v>0</v>
      </c>
      <c r="H78" t="s">
        <v>7</v>
      </c>
      <c r="I78" t="s">
        <v>0</v>
      </c>
      <c r="J78" t="s">
        <v>56</v>
      </c>
      <c r="K78" t="s">
        <v>6</v>
      </c>
      <c r="L78" t="s">
        <v>2</v>
      </c>
      <c r="M78" t="s">
        <v>56</v>
      </c>
    </row>
    <row r="79" spans="1:13" ht="14.1" customHeight="1" x14ac:dyDescent="0.2">
      <c r="A79" s="5" t="s">
        <v>83</v>
      </c>
      <c r="B79" t="s">
        <v>1</v>
      </c>
      <c r="C79" t="s">
        <v>2</v>
      </c>
      <c r="D79" t="s">
        <v>3</v>
      </c>
      <c r="E79" s="2">
        <v>10196.469999999999</v>
      </c>
      <c r="F79" t="s">
        <v>4</v>
      </c>
      <c r="G79" t="s">
        <v>0</v>
      </c>
      <c r="H79" t="s">
        <v>7</v>
      </c>
      <c r="I79" t="s">
        <v>0</v>
      </c>
      <c r="J79" t="s">
        <v>56</v>
      </c>
      <c r="K79" t="s">
        <v>6</v>
      </c>
      <c r="L79" t="s">
        <v>2</v>
      </c>
      <c r="M79" t="s">
        <v>56</v>
      </c>
    </row>
    <row r="80" spans="1:13" ht="14.1" customHeight="1" x14ac:dyDescent="0.2">
      <c r="A80" s="5" t="s">
        <v>83</v>
      </c>
      <c r="B80" t="s">
        <v>1</v>
      </c>
      <c r="C80" t="s">
        <v>2</v>
      </c>
      <c r="D80" t="s">
        <v>3</v>
      </c>
      <c r="E80" s="2">
        <v>11265.64</v>
      </c>
      <c r="F80" t="s">
        <v>4</v>
      </c>
      <c r="G80" t="s">
        <v>0</v>
      </c>
      <c r="H80" t="s">
        <v>7</v>
      </c>
      <c r="I80" t="s">
        <v>0</v>
      </c>
      <c r="J80" t="s">
        <v>56</v>
      </c>
      <c r="K80" t="s">
        <v>6</v>
      </c>
      <c r="L80" t="s">
        <v>2</v>
      </c>
      <c r="M80" t="s">
        <v>56</v>
      </c>
    </row>
    <row r="81" spans="1:13" ht="14.1" customHeight="1" x14ac:dyDescent="0.2">
      <c r="A81" s="5" t="s">
        <v>83</v>
      </c>
      <c r="B81" t="s">
        <v>1</v>
      </c>
      <c r="C81" t="s">
        <v>2</v>
      </c>
      <c r="D81" t="s">
        <v>3</v>
      </c>
      <c r="E81" s="2">
        <v>63660.39</v>
      </c>
      <c r="F81" t="s">
        <v>4</v>
      </c>
      <c r="G81" t="s">
        <v>0</v>
      </c>
      <c r="H81" t="s">
        <v>7</v>
      </c>
      <c r="I81" t="s">
        <v>0</v>
      </c>
      <c r="J81" t="s">
        <v>56</v>
      </c>
      <c r="K81" t="s">
        <v>6</v>
      </c>
      <c r="L81" t="s">
        <v>2</v>
      </c>
      <c r="M81" t="s">
        <v>56</v>
      </c>
    </row>
    <row r="82" spans="1:13" ht="14.1" customHeight="1" x14ac:dyDescent="0.2">
      <c r="A82" s="5" t="s">
        <v>83</v>
      </c>
      <c r="B82" t="s">
        <v>1</v>
      </c>
      <c r="C82" t="s">
        <v>2</v>
      </c>
      <c r="D82" t="s">
        <v>3</v>
      </c>
      <c r="E82" s="2">
        <v>5396.47</v>
      </c>
      <c r="F82" t="s">
        <v>4</v>
      </c>
      <c r="G82" t="s">
        <v>0</v>
      </c>
      <c r="H82" t="s">
        <v>7</v>
      </c>
      <c r="I82" t="s">
        <v>0</v>
      </c>
      <c r="J82" t="s">
        <v>56</v>
      </c>
      <c r="K82" t="s">
        <v>6</v>
      </c>
      <c r="L82" t="s">
        <v>2</v>
      </c>
      <c r="M82" t="s">
        <v>56</v>
      </c>
    </row>
    <row r="83" spans="1:13" ht="14.1" customHeight="1" x14ac:dyDescent="0.2">
      <c r="A83" s="5" t="s">
        <v>83</v>
      </c>
      <c r="B83" t="s">
        <v>1</v>
      </c>
      <c r="C83" t="s">
        <v>2</v>
      </c>
      <c r="D83" t="s">
        <v>3</v>
      </c>
      <c r="E83" s="2">
        <v>203541.13</v>
      </c>
      <c r="F83" t="s">
        <v>4</v>
      </c>
      <c r="G83" t="s">
        <v>0</v>
      </c>
      <c r="H83" t="s">
        <v>7</v>
      </c>
      <c r="I83" t="s">
        <v>0</v>
      </c>
      <c r="J83" t="s">
        <v>56</v>
      </c>
      <c r="K83" t="s">
        <v>6</v>
      </c>
      <c r="L83" t="s">
        <v>2</v>
      </c>
      <c r="M83" t="s">
        <v>56</v>
      </c>
    </row>
    <row r="84" spans="1:13" ht="14.1" customHeight="1" x14ac:dyDescent="0.2">
      <c r="A84" s="5" t="s">
        <v>83</v>
      </c>
      <c r="B84" t="s">
        <v>1</v>
      </c>
      <c r="C84" t="s">
        <v>2</v>
      </c>
      <c r="D84" t="s">
        <v>3</v>
      </c>
      <c r="E84" s="2">
        <v>55099.63</v>
      </c>
      <c r="F84" t="s">
        <v>4</v>
      </c>
      <c r="G84" t="s">
        <v>0</v>
      </c>
      <c r="H84" t="s">
        <v>7</v>
      </c>
      <c r="I84" t="s">
        <v>0</v>
      </c>
      <c r="J84" t="s">
        <v>56</v>
      </c>
      <c r="K84" t="s">
        <v>6</v>
      </c>
      <c r="L84" t="s">
        <v>2</v>
      </c>
      <c r="M84" t="s">
        <v>56</v>
      </c>
    </row>
    <row r="85" spans="1:13" ht="14.1" customHeight="1" x14ac:dyDescent="0.2">
      <c r="A85" s="5" t="s">
        <v>83</v>
      </c>
      <c r="B85" t="s">
        <v>1</v>
      </c>
      <c r="C85" t="s">
        <v>2</v>
      </c>
      <c r="D85" t="s">
        <v>3</v>
      </c>
      <c r="E85" s="2">
        <v>582600.18999999994</v>
      </c>
      <c r="F85" t="s">
        <v>4</v>
      </c>
      <c r="G85" t="s">
        <v>0</v>
      </c>
      <c r="H85" t="s">
        <v>7</v>
      </c>
      <c r="I85" t="s">
        <v>0</v>
      </c>
      <c r="J85" t="s">
        <v>56</v>
      </c>
      <c r="K85" t="s">
        <v>6</v>
      </c>
      <c r="L85" t="s">
        <v>2</v>
      </c>
      <c r="M85" t="s">
        <v>56</v>
      </c>
    </row>
    <row r="86" spans="1:13" ht="14.1" customHeight="1" x14ac:dyDescent="0.2">
      <c r="A86" s="5" t="s">
        <v>83</v>
      </c>
      <c r="B86" t="s">
        <v>1</v>
      </c>
      <c r="C86" t="s">
        <v>2</v>
      </c>
      <c r="D86" t="s">
        <v>3</v>
      </c>
      <c r="E86" s="2">
        <v>6125.37</v>
      </c>
      <c r="F86" t="s">
        <v>4</v>
      </c>
      <c r="G86" t="s">
        <v>0</v>
      </c>
      <c r="H86" t="s">
        <v>7</v>
      </c>
      <c r="I86" t="s">
        <v>0</v>
      </c>
      <c r="J86" t="s">
        <v>56</v>
      </c>
      <c r="K86" t="s">
        <v>6</v>
      </c>
      <c r="L86" t="s">
        <v>2</v>
      </c>
      <c r="M86" t="s">
        <v>56</v>
      </c>
    </row>
    <row r="87" spans="1:13" ht="14.1" customHeight="1" x14ac:dyDescent="0.2">
      <c r="A87" s="5" t="s">
        <v>83</v>
      </c>
      <c r="B87" t="s">
        <v>1</v>
      </c>
      <c r="C87" t="s">
        <v>2</v>
      </c>
      <c r="D87" t="s">
        <v>3</v>
      </c>
      <c r="E87" s="2">
        <v>25762.560000000001</v>
      </c>
      <c r="F87" t="s">
        <v>4</v>
      </c>
      <c r="G87" t="s">
        <v>0</v>
      </c>
      <c r="H87" t="s">
        <v>7</v>
      </c>
      <c r="I87" t="s">
        <v>0</v>
      </c>
      <c r="J87" t="s">
        <v>57</v>
      </c>
      <c r="K87" t="s">
        <v>6</v>
      </c>
      <c r="L87" t="s">
        <v>2</v>
      </c>
      <c r="M87" t="s">
        <v>57</v>
      </c>
    </row>
    <row r="88" spans="1:13" ht="14.1" customHeight="1" x14ac:dyDescent="0.2">
      <c r="A88" s="5" t="s">
        <v>83</v>
      </c>
      <c r="B88" t="s">
        <v>1</v>
      </c>
      <c r="C88" t="s">
        <v>2</v>
      </c>
      <c r="D88" t="s">
        <v>3</v>
      </c>
      <c r="E88" s="2">
        <v>19817.349999999999</v>
      </c>
      <c r="F88" t="s">
        <v>4</v>
      </c>
      <c r="G88" t="s">
        <v>0</v>
      </c>
      <c r="H88" t="s">
        <v>7</v>
      </c>
      <c r="I88" t="s">
        <v>0</v>
      </c>
      <c r="J88" t="s">
        <v>57</v>
      </c>
      <c r="K88" t="s">
        <v>6</v>
      </c>
      <c r="L88" t="s">
        <v>2</v>
      </c>
      <c r="M88" t="s">
        <v>57</v>
      </c>
    </row>
    <row r="89" spans="1:13" ht="14.1" customHeight="1" x14ac:dyDescent="0.2">
      <c r="A89" s="5" t="s">
        <v>83</v>
      </c>
      <c r="B89" t="s">
        <v>1</v>
      </c>
      <c r="C89" t="s">
        <v>2</v>
      </c>
      <c r="D89" t="s">
        <v>3</v>
      </c>
      <c r="E89" s="2">
        <v>1981.73</v>
      </c>
      <c r="F89" t="s">
        <v>4</v>
      </c>
      <c r="G89" t="s">
        <v>0</v>
      </c>
      <c r="H89" t="s">
        <v>7</v>
      </c>
      <c r="I89" t="s">
        <v>0</v>
      </c>
      <c r="J89" t="s">
        <v>57</v>
      </c>
      <c r="K89" t="s">
        <v>6</v>
      </c>
      <c r="L89" t="s">
        <v>2</v>
      </c>
      <c r="M89" t="s">
        <v>57</v>
      </c>
    </row>
    <row r="90" spans="1:13" ht="14.1" customHeight="1" x14ac:dyDescent="0.2">
      <c r="A90" s="5" t="s">
        <v>83</v>
      </c>
      <c r="B90" t="s">
        <v>1</v>
      </c>
      <c r="C90" t="s">
        <v>2</v>
      </c>
      <c r="D90" t="s">
        <v>3</v>
      </c>
      <c r="E90" s="2">
        <v>11324.2</v>
      </c>
      <c r="F90" t="s">
        <v>4</v>
      </c>
      <c r="G90" t="s">
        <v>0</v>
      </c>
      <c r="H90" t="s">
        <v>7</v>
      </c>
      <c r="I90" t="s">
        <v>0</v>
      </c>
      <c r="J90" t="s">
        <v>57</v>
      </c>
      <c r="K90" t="s">
        <v>6</v>
      </c>
      <c r="L90" t="s">
        <v>2</v>
      </c>
      <c r="M90" t="s">
        <v>57</v>
      </c>
    </row>
    <row r="91" spans="1:13" ht="14.1" customHeight="1" x14ac:dyDescent="0.2">
      <c r="A91" s="5" t="s">
        <v>83</v>
      </c>
      <c r="B91" t="s">
        <v>1</v>
      </c>
      <c r="C91" t="s">
        <v>2</v>
      </c>
      <c r="D91" t="s">
        <v>3</v>
      </c>
      <c r="E91" s="2">
        <v>707.76</v>
      </c>
      <c r="F91" t="s">
        <v>4</v>
      </c>
      <c r="G91" t="s">
        <v>0</v>
      </c>
      <c r="H91" t="s">
        <v>7</v>
      </c>
      <c r="I91" t="s">
        <v>0</v>
      </c>
      <c r="J91" t="s">
        <v>57</v>
      </c>
      <c r="K91" t="s">
        <v>6</v>
      </c>
      <c r="L91" t="s">
        <v>2</v>
      </c>
      <c r="M91" t="s">
        <v>57</v>
      </c>
    </row>
    <row r="92" spans="1:13" ht="14.1" customHeight="1" x14ac:dyDescent="0.2">
      <c r="A92" s="5" t="s">
        <v>83</v>
      </c>
      <c r="B92" t="s">
        <v>1</v>
      </c>
      <c r="C92" t="s">
        <v>2</v>
      </c>
      <c r="D92" t="s">
        <v>3</v>
      </c>
      <c r="E92" s="2">
        <v>1132.42</v>
      </c>
      <c r="F92" t="s">
        <v>4</v>
      </c>
      <c r="G92" t="s">
        <v>0</v>
      </c>
      <c r="H92" t="s">
        <v>7</v>
      </c>
      <c r="I92" t="s">
        <v>0</v>
      </c>
      <c r="J92" t="s">
        <v>57</v>
      </c>
      <c r="K92" t="s">
        <v>6</v>
      </c>
      <c r="L92" t="s">
        <v>2</v>
      </c>
      <c r="M92" t="s">
        <v>57</v>
      </c>
    </row>
    <row r="93" spans="1:13" ht="14.1" customHeight="1" x14ac:dyDescent="0.2">
      <c r="A93" s="5" t="s">
        <v>83</v>
      </c>
      <c r="B93" t="s">
        <v>1</v>
      </c>
      <c r="C93" t="s">
        <v>2</v>
      </c>
      <c r="D93" t="s">
        <v>3</v>
      </c>
      <c r="E93" s="2">
        <v>17322.080000000002</v>
      </c>
      <c r="F93" t="s">
        <v>4</v>
      </c>
      <c r="G93" t="s">
        <v>0</v>
      </c>
      <c r="H93" t="s">
        <v>7</v>
      </c>
      <c r="I93" t="s">
        <v>0</v>
      </c>
      <c r="J93" t="s">
        <v>57</v>
      </c>
      <c r="K93" t="s">
        <v>6</v>
      </c>
      <c r="L93" t="s">
        <v>2</v>
      </c>
      <c r="M93" t="s">
        <v>57</v>
      </c>
    </row>
    <row r="94" spans="1:13" ht="14.1" customHeight="1" x14ac:dyDescent="0.2">
      <c r="A94" s="5" t="s">
        <v>83</v>
      </c>
      <c r="B94" t="s">
        <v>1</v>
      </c>
      <c r="C94" t="s">
        <v>2</v>
      </c>
      <c r="D94" t="s">
        <v>3</v>
      </c>
      <c r="E94" s="2">
        <v>8910.2800000000007</v>
      </c>
      <c r="F94" t="s">
        <v>4</v>
      </c>
      <c r="G94" t="s">
        <v>0</v>
      </c>
      <c r="H94" t="s">
        <v>7</v>
      </c>
      <c r="I94" t="s">
        <v>0</v>
      </c>
      <c r="J94" t="s">
        <v>57</v>
      </c>
      <c r="K94" t="s">
        <v>6</v>
      </c>
      <c r="L94" t="s">
        <v>2</v>
      </c>
      <c r="M94" t="s">
        <v>57</v>
      </c>
    </row>
    <row r="95" spans="1:13" ht="14.1" customHeight="1" x14ac:dyDescent="0.2">
      <c r="A95" s="5" t="s">
        <v>83</v>
      </c>
      <c r="B95" t="s">
        <v>1</v>
      </c>
      <c r="C95" t="s">
        <v>2</v>
      </c>
      <c r="D95" t="s">
        <v>3</v>
      </c>
      <c r="E95" s="2">
        <v>604.92999999999995</v>
      </c>
      <c r="F95" t="s">
        <v>4</v>
      </c>
      <c r="G95" t="s">
        <v>0</v>
      </c>
      <c r="H95" t="s">
        <v>7</v>
      </c>
      <c r="I95" t="s">
        <v>0</v>
      </c>
      <c r="J95" t="s">
        <v>57</v>
      </c>
      <c r="K95" t="s">
        <v>6</v>
      </c>
      <c r="L95" t="s">
        <v>2</v>
      </c>
      <c r="M95" t="s">
        <v>57</v>
      </c>
    </row>
    <row r="96" spans="1:13" ht="14.1" customHeight="1" x14ac:dyDescent="0.2">
      <c r="A96" s="5" t="s">
        <v>83</v>
      </c>
      <c r="B96" t="s">
        <v>1</v>
      </c>
      <c r="C96" t="s">
        <v>2</v>
      </c>
      <c r="D96" t="s">
        <v>3</v>
      </c>
      <c r="E96" s="2">
        <v>3233.54</v>
      </c>
      <c r="F96" t="s">
        <v>4</v>
      </c>
      <c r="G96" t="s">
        <v>0</v>
      </c>
      <c r="H96" t="s">
        <v>7</v>
      </c>
      <c r="I96" t="s">
        <v>0</v>
      </c>
      <c r="J96" t="s">
        <v>57</v>
      </c>
      <c r="K96" t="s">
        <v>6</v>
      </c>
      <c r="L96" t="s">
        <v>2</v>
      </c>
      <c r="M96" t="s">
        <v>57</v>
      </c>
    </row>
    <row r="97" spans="1:13" ht="14.1" customHeight="1" x14ac:dyDescent="0.2">
      <c r="A97" s="5" t="s">
        <v>83</v>
      </c>
      <c r="B97" t="s">
        <v>1</v>
      </c>
      <c r="C97" t="s">
        <v>2</v>
      </c>
      <c r="D97" t="s">
        <v>3</v>
      </c>
      <c r="E97" s="2">
        <v>216.35</v>
      </c>
      <c r="F97" t="s">
        <v>4</v>
      </c>
      <c r="G97" t="s">
        <v>0</v>
      </c>
      <c r="H97" t="s">
        <v>7</v>
      </c>
      <c r="I97" t="s">
        <v>0</v>
      </c>
      <c r="J97" t="s">
        <v>56</v>
      </c>
      <c r="K97" t="s">
        <v>6</v>
      </c>
      <c r="L97" t="s">
        <v>2</v>
      </c>
      <c r="M97" t="s">
        <v>56</v>
      </c>
    </row>
    <row r="98" spans="1:13" ht="14.1" customHeight="1" x14ac:dyDescent="0.2">
      <c r="A98" s="5" t="s">
        <v>83</v>
      </c>
      <c r="B98" t="s">
        <v>1</v>
      </c>
      <c r="C98" t="s">
        <v>2</v>
      </c>
      <c r="D98" t="s">
        <v>3</v>
      </c>
      <c r="E98" s="2">
        <v>466.51</v>
      </c>
      <c r="F98" t="s">
        <v>4</v>
      </c>
      <c r="G98" t="s">
        <v>0</v>
      </c>
      <c r="H98" t="s">
        <v>7</v>
      </c>
      <c r="I98" t="s">
        <v>0</v>
      </c>
      <c r="J98" t="s">
        <v>56</v>
      </c>
      <c r="K98" t="s">
        <v>6</v>
      </c>
      <c r="L98" t="s">
        <v>2</v>
      </c>
      <c r="M98" t="s">
        <v>56</v>
      </c>
    </row>
    <row r="99" spans="1:13" ht="14.1" customHeight="1" x14ac:dyDescent="0.2">
      <c r="A99" s="5" t="s">
        <v>83</v>
      </c>
      <c r="B99" t="s">
        <v>1</v>
      </c>
      <c r="C99" t="s">
        <v>2</v>
      </c>
      <c r="D99" t="s">
        <v>3</v>
      </c>
      <c r="E99" s="2">
        <v>505.37</v>
      </c>
      <c r="F99" t="s">
        <v>4</v>
      </c>
      <c r="G99" t="s">
        <v>0</v>
      </c>
      <c r="H99" t="s">
        <v>7</v>
      </c>
      <c r="I99" t="s">
        <v>0</v>
      </c>
      <c r="J99" t="s">
        <v>56</v>
      </c>
      <c r="K99" t="s">
        <v>6</v>
      </c>
      <c r="L99" t="s">
        <v>2</v>
      </c>
      <c r="M99" t="s">
        <v>56</v>
      </c>
    </row>
    <row r="100" spans="1:13" ht="14.1" customHeight="1" x14ac:dyDescent="0.2">
      <c r="A100" s="5" t="s">
        <v>83</v>
      </c>
      <c r="B100" t="s">
        <v>1</v>
      </c>
      <c r="C100" t="s">
        <v>2</v>
      </c>
      <c r="D100" t="s">
        <v>3</v>
      </c>
      <c r="E100" s="2">
        <v>20956</v>
      </c>
      <c r="F100" t="s">
        <v>4</v>
      </c>
      <c r="G100" t="s">
        <v>0</v>
      </c>
      <c r="H100" t="s">
        <v>7</v>
      </c>
      <c r="I100" t="s">
        <v>0</v>
      </c>
      <c r="J100" t="s">
        <v>57</v>
      </c>
      <c r="K100" t="s">
        <v>6</v>
      </c>
      <c r="L100" t="s">
        <v>2</v>
      </c>
      <c r="M100" t="s">
        <v>57</v>
      </c>
    </row>
    <row r="101" spans="1:13" ht="14.1" customHeight="1" x14ac:dyDescent="0.2">
      <c r="A101" s="5" t="s">
        <v>83</v>
      </c>
      <c r="B101" t="s">
        <v>1</v>
      </c>
      <c r="C101" t="s">
        <v>2</v>
      </c>
      <c r="D101" t="s">
        <v>3</v>
      </c>
      <c r="E101" s="2">
        <v>4058.62</v>
      </c>
      <c r="F101" t="s">
        <v>4</v>
      </c>
      <c r="G101" t="s">
        <v>0</v>
      </c>
      <c r="H101" t="s">
        <v>7</v>
      </c>
      <c r="I101" t="s">
        <v>0</v>
      </c>
      <c r="J101" t="s">
        <v>56</v>
      </c>
      <c r="K101" t="s">
        <v>6</v>
      </c>
      <c r="L101" t="s">
        <v>2</v>
      </c>
      <c r="M101" t="s">
        <v>56</v>
      </c>
    </row>
    <row r="102" spans="1:13" ht="14.1" customHeight="1" x14ac:dyDescent="0.2">
      <c r="A102" s="5" t="s">
        <v>83</v>
      </c>
      <c r="B102" t="s">
        <v>1</v>
      </c>
      <c r="C102" t="s">
        <v>2</v>
      </c>
      <c r="D102" t="s">
        <v>3</v>
      </c>
      <c r="E102" s="2">
        <v>2106.11</v>
      </c>
      <c r="F102" t="s">
        <v>4</v>
      </c>
      <c r="G102" t="s">
        <v>0</v>
      </c>
      <c r="H102" t="s">
        <v>7</v>
      </c>
      <c r="I102" t="s">
        <v>0</v>
      </c>
      <c r="J102" t="s">
        <v>56</v>
      </c>
      <c r="K102" t="s">
        <v>6</v>
      </c>
      <c r="L102" t="s">
        <v>2</v>
      </c>
      <c r="M102" t="s">
        <v>56</v>
      </c>
    </row>
    <row r="103" spans="1:13" ht="14.1" customHeight="1" x14ac:dyDescent="0.2">
      <c r="A103" s="5" t="s">
        <v>83</v>
      </c>
      <c r="B103" t="s">
        <v>1</v>
      </c>
      <c r="C103" t="s">
        <v>2</v>
      </c>
      <c r="D103" t="s">
        <v>3</v>
      </c>
      <c r="E103" s="2">
        <v>4466.3100000000004</v>
      </c>
      <c r="F103" t="s">
        <v>4</v>
      </c>
      <c r="G103" t="s">
        <v>0</v>
      </c>
      <c r="H103" t="s">
        <v>7</v>
      </c>
      <c r="I103" t="s">
        <v>0</v>
      </c>
      <c r="J103" t="s">
        <v>56</v>
      </c>
      <c r="K103" t="s">
        <v>6</v>
      </c>
      <c r="L103" t="s">
        <v>2</v>
      </c>
      <c r="M103" t="s">
        <v>56</v>
      </c>
    </row>
    <row r="104" spans="1:13" ht="14.1" customHeight="1" x14ac:dyDescent="0.2">
      <c r="A104" s="5" t="s">
        <v>83</v>
      </c>
      <c r="B104" t="s">
        <v>1</v>
      </c>
      <c r="C104" t="s">
        <v>2</v>
      </c>
      <c r="D104" t="s">
        <v>3</v>
      </c>
      <c r="E104" s="2">
        <v>35.82</v>
      </c>
      <c r="F104" t="s">
        <v>4</v>
      </c>
      <c r="G104" t="s">
        <v>0</v>
      </c>
      <c r="H104" t="s">
        <v>7</v>
      </c>
      <c r="I104" t="s">
        <v>0</v>
      </c>
      <c r="J104" t="s">
        <v>56</v>
      </c>
      <c r="K104" t="s">
        <v>6</v>
      </c>
      <c r="L104" t="s">
        <v>2</v>
      </c>
      <c r="M104" t="s">
        <v>56</v>
      </c>
    </row>
    <row r="105" spans="1:13" ht="14.1" customHeight="1" x14ac:dyDescent="0.2">
      <c r="A105" s="5" t="s">
        <v>83</v>
      </c>
      <c r="B105" t="s">
        <v>1</v>
      </c>
      <c r="C105" t="s">
        <v>2</v>
      </c>
      <c r="D105" t="s">
        <v>3</v>
      </c>
      <c r="E105" s="2">
        <v>5383.28</v>
      </c>
      <c r="F105" t="s">
        <v>4</v>
      </c>
      <c r="G105" t="s">
        <v>0</v>
      </c>
      <c r="H105" t="s">
        <v>7</v>
      </c>
      <c r="I105" t="s">
        <v>0</v>
      </c>
      <c r="J105" t="s">
        <v>56</v>
      </c>
      <c r="K105" t="s">
        <v>6</v>
      </c>
      <c r="L105" t="s">
        <v>2</v>
      </c>
      <c r="M105" t="s">
        <v>56</v>
      </c>
    </row>
    <row r="106" spans="1:13" ht="14.1" customHeight="1" x14ac:dyDescent="0.2">
      <c r="A106" s="5" t="s">
        <v>83</v>
      </c>
      <c r="B106" t="s">
        <v>1</v>
      </c>
      <c r="C106" t="s">
        <v>2</v>
      </c>
      <c r="D106" t="s">
        <v>3</v>
      </c>
      <c r="E106" s="2">
        <v>5383.28</v>
      </c>
      <c r="F106" t="s">
        <v>4</v>
      </c>
      <c r="G106" t="s">
        <v>0</v>
      </c>
      <c r="H106" t="s">
        <v>7</v>
      </c>
      <c r="I106" t="s">
        <v>0</v>
      </c>
      <c r="J106" t="s">
        <v>56</v>
      </c>
      <c r="K106" t="s">
        <v>6</v>
      </c>
      <c r="L106" t="s">
        <v>2</v>
      </c>
      <c r="M106" t="s">
        <v>56</v>
      </c>
    </row>
    <row r="107" spans="1:13" ht="14.1" customHeight="1" x14ac:dyDescent="0.2">
      <c r="A107" s="5" t="s">
        <v>83</v>
      </c>
      <c r="B107" t="s">
        <v>1</v>
      </c>
      <c r="C107" t="s">
        <v>2</v>
      </c>
      <c r="D107" t="s">
        <v>3</v>
      </c>
      <c r="E107" s="2">
        <v>272559.48</v>
      </c>
      <c r="F107" t="s">
        <v>4</v>
      </c>
      <c r="G107" t="s">
        <v>0</v>
      </c>
      <c r="H107" t="s">
        <v>7</v>
      </c>
      <c r="I107" t="s">
        <v>0</v>
      </c>
      <c r="J107" t="s">
        <v>57</v>
      </c>
      <c r="K107" t="s">
        <v>6</v>
      </c>
      <c r="L107" t="s">
        <v>2</v>
      </c>
      <c r="M107" t="s">
        <v>57</v>
      </c>
    </row>
    <row r="108" spans="1:13" ht="14.1" customHeight="1" x14ac:dyDescent="0.2">
      <c r="A108" s="5" t="s">
        <v>83</v>
      </c>
      <c r="B108" t="s">
        <v>1</v>
      </c>
      <c r="C108" t="s">
        <v>2</v>
      </c>
      <c r="D108" t="s">
        <v>3</v>
      </c>
      <c r="E108" s="2">
        <v>207235.92</v>
      </c>
      <c r="F108" t="s">
        <v>4</v>
      </c>
      <c r="G108" t="s">
        <v>0</v>
      </c>
      <c r="H108" t="s">
        <v>7</v>
      </c>
      <c r="I108" t="s">
        <v>0</v>
      </c>
      <c r="J108" t="s">
        <v>57</v>
      </c>
      <c r="K108" t="s">
        <v>6</v>
      </c>
      <c r="L108" t="s">
        <v>2</v>
      </c>
      <c r="M108" t="s">
        <v>57</v>
      </c>
    </row>
    <row r="109" spans="1:13" ht="14.1" customHeight="1" x14ac:dyDescent="0.2">
      <c r="A109" s="5" t="s">
        <v>83</v>
      </c>
      <c r="B109" t="s">
        <v>1</v>
      </c>
      <c r="C109" t="s">
        <v>2</v>
      </c>
      <c r="D109" t="s">
        <v>3</v>
      </c>
      <c r="E109" s="2">
        <v>5058.25</v>
      </c>
      <c r="F109" t="s">
        <v>4</v>
      </c>
      <c r="G109" t="s">
        <v>0</v>
      </c>
      <c r="H109" t="s">
        <v>7</v>
      </c>
      <c r="I109" t="s">
        <v>0</v>
      </c>
      <c r="J109" t="s">
        <v>56</v>
      </c>
      <c r="K109" t="s">
        <v>6</v>
      </c>
      <c r="L109" t="s">
        <v>2</v>
      </c>
      <c r="M109" t="s">
        <v>56</v>
      </c>
    </row>
    <row r="110" spans="1:13" ht="14.1" customHeight="1" x14ac:dyDescent="0.2">
      <c r="A110" s="5" t="s">
        <v>83</v>
      </c>
      <c r="B110" t="s">
        <v>1</v>
      </c>
      <c r="C110" t="s">
        <v>2</v>
      </c>
      <c r="D110" t="s">
        <v>3</v>
      </c>
      <c r="E110" s="2">
        <v>10123.94</v>
      </c>
      <c r="F110" t="s">
        <v>4</v>
      </c>
      <c r="G110" t="s">
        <v>0</v>
      </c>
      <c r="H110" t="s">
        <v>7</v>
      </c>
      <c r="I110" t="s">
        <v>0</v>
      </c>
      <c r="J110" t="s">
        <v>56</v>
      </c>
      <c r="K110" t="s">
        <v>6</v>
      </c>
      <c r="L110" t="s">
        <v>2</v>
      </c>
      <c r="M110" t="s">
        <v>56</v>
      </c>
    </row>
    <row r="111" spans="1:13" ht="14.1" customHeight="1" x14ac:dyDescent="0.2">
      <c r="A111" s="5" t="s">
        <v>83</v>
      </c>
      <c r="B111" t="s">
        <v>1</v>
      </c>
      <c r="C111" t="s">
        <v>2</v>
      </c>
      <c r="D111" t="s">
        <v>3</v>
      </c>
      <c r="E111" s="2">
        <v>299695.09999999998</v>
      </c>
      <c r="F111" t="s">
        <v>4</v>
      </c>
      <c r="G111" t="s">
        <v>0</v>
      </c>
      <c r="H111" t="s">
        <v>7</v>
      </c>
      <c r="I111" t="s">
        <v>0</v>
      </c>
      <c r="J111" t="s">
        <v>57</v>
      </c>
      <c r="K111" t="s">
        <v>6</v>
      </c>
      <c r="L111" t="s">
        <v>2</v>
      </c>
      <c r="M111" t="s">
        <v>57</v>
      </c>
    </row>
    <row r="112" spans="1:13" ht="14.1" customHeight="1" x14ac:dyDescent="0.2">
      <c r="A112" s="5" t="s">
        <v>83</v>
      </c>
      <c r="B112" t="s">
        <v>1</v>
      </c>
      <c r="C112" t="s">
        <v>2</v>
      </c>
      <c r="D112" t="s">
        <v>3</v>
      </c>
      <c r="E112" s="2">
        <v>133946.1</v>
      </c>
      <c r="F112" t="s">
        <v>4</v>
      </c>
      <c r="G112" t="s">
        <v>0</v>
      </c>
      <c r="H112" t="s">
        <v>7</v>
      </c>
      <c r="I112" t="s">
        <v>0</v>
      </c>
      <c r="J112" t="s">
        <v>56</v>
      </c>
      <c r="K112" t="s">
        <v>6</v>
      </c>
      <c r="L112" t="s">
        <v>2</v>
      </c>
      <c r="M112" t="s">
        <v>56</v>
      </c>
    </row>
    <row r="113" spans="1:13" ht="14.1" customHeight="1" x14ac:dyDescent="0.2">
      <c r="A113" s="5" t="s">
        <v>83</v>
      </c>
      <c r="B113" t="s">
        <v>1</v>
      </c>
      <c r="C113" t="s">
        <v>2</v>
      </c>
      <c r="D113" t="s">
        <v>3</v>
      </c>
      <c r="E113" s="2">
        <v>2716.28</v>
      </c>
      <c r="F113" t="s">
        <v>4</v>
      </c>
      <c r="G113" t="s">
        <v>0</v>
      </c>
      <c r="H113" t="s">
        <v>7</v>
      </c>
      <c r="I113" t="s">
        <v>0</v>
      </c>
      <c r="J113" t="s">
        <v>56</v>
      </c>
      <c r="K113" t="s">
        <v>6</v>
      </c>
      <c r="L113" t="s">
        <v>2</v>
      </c>
      <c r="M113" t="s">
        <v>56</v>
      </c>
    </row>
    <row r="114" spans="1:13" ht="14.1" customHeight="1" x14ac:dyDescent="0.2">
      <c r="A114" s="5" t="s">
        <v>83</v>
      </c>
      <c r="B114" t="s">
        <v>1</v>
      </c>
      <c r="C114" t="s">
        <v>2</v>
      </c>
      <c r="D114" t="s">
        <v>3</v>
      </c>
      <c r="E114" s="2">
        <v>735193.38</v>
      </c>
      <c r="F114" t="s">
        <v>4</v>
      </c>
      <c r="G114" t="s">
        <v>0</v>
      </c>
      <c r="H114" t="s">
        <v>7</v>
      </c>
      <c r="I114" t="s">
        <v>0</v>
      </c>
      <c r="J114" t="s">
        <v>57</v>
      </c>
      <c r="K114" t="s">
        <v>6</v>
      </c>
      <c r="L114" t="s">
        <v>2</v>
      </c>
      <c r="M114" t="s">
        <v>57</v>
      </c>
    </row>
    <row r="115" spans="1:13" ht="14.1" customHeight="1" x14ac:dyDescent="0.2">
      <c r="A115" s="5" t="s">
        <v>83</v>
      </c>
      <c r="B115" t="s">
        <v>1</v>
      </c>
      <c r="C115" t="s">
        <v>2</v>
      </c>
      <c r="D115" t="s">
        <v>3</v>
      </c>
      <c r="E115" s="2">
        <v>446727.83</v>
      </c>
      <c r="F115" t="s">
        <v>4</v>
      </c>
      <c r="G115" t="s">
        <v>0</v>
      </c>
      <c r="H115" t="s">
        <v>7</v>
      </c>
      <c r="I115" t="s">
        <v>0</v>
      </c>
      <c r="J115" t="s">
        <v>57</v>
      </c>
      <c r="K115" t="s">
        <v>6</v>
      </c>
      <c r="L115" t="s">
        <v>2</v>
      </c>
      <c r="M115" t="s">
        <v>57</v>
      </c>
    </row>
    <row r="116" spans="1:13" ht="14.1" customHeight="1" x14ac:dyDescent="0.2">
      <c r="A116" s="5" t="s">
        <v>83</v>
      </c>
      <c r="B116" t="s">
        <v>1</v>
      </c>
      <c r="C116" t="s">
        <v>2</v>
      </c>
      <c r="D116" t="s">
        <v>3</v>
      </c>
      <c r="E116" s="2">
        <v>10921.27</v>
      </c>
      <c r="F116" t="s">
        <v>4</v>
      </c>
      <c r="G116" t="s">
        <v>0</v>
      </c>
      <c r="H116" t="s">
        <v>7</v>
      </c>
      <c r="I116" t="s">
        <v>0</v>
      </c>
      <c r="J116" t="s">
        <v>57</v>
      </c>
      <c r="K116" t="s">
        <v>6</v>
      </c>
      <c r="L116" t="s">
        <v>2</v>
      </c>
      <c r="M116" t="s">
        <v>57</v>
      </c>
    </row>
    <row r="117" spans="1:13" ht="14.1" customHeight="1" x14ac:dyDescent="0.2">
      <c r="A117" s="5" t="s">
        <v>83</v>
      </c>
      <c r="B117" t="s">
        <v>1</v>
      </c>
      <c r="C117" t="s">
        <v>2</v>
      </c>
      <c r="D117" t="s">
        <v>3</v>
      </c>
      <c r="E117" s="2">
        <v>333557.71999999997</v>
      </c>
      <c r="F117" t="s">
        <v>4</v>
      </c>
      <c r="G117" t="s">
        <v>0</v>
      </c>
      <c r="H117" t="s">
        <v>7</v>
      </c>
      <c r="I117" t="s">
        <v>0</v>
      </c>
      <c r="J117" t="s">
        <v>57</v>
      </c>
      <c r="K117" t="s">
        <v>6</v>
      </c>
      <c r="L117" t="s">
        <v>2</v>
      </c>
      <c r="M117" t="s">
        <v>57</v>
      </c>
    </row>
    <row r="118" spans="1:13" ht="14.1" customHeight="1" x14ac:dyDescent="0.2">
      <c r="A118" s="5" t="s">
        <v>83</v>
      </c>
      <c r="B118" t="s">
        <v>1</v>
      </c>
      <c r="C118" t="s">
        <v>2</v>
      </c>
      <c r="D118" t="s">
        <v>3</v>
      </c>
      <c r="E118" s="2">
        <v>63698.63</v>
      </c>
      <c r="F118" t="s">
        <v>4</v>
      </c>
      <c r="G118" t="s">
        <v>0</v>
      </c>
      <c r="H118" t="s">
        <v>7</v>
      </c>
      <c r="I118" t="s">
        <v>0</v>
      </c>
      <c r="J118" t="s">
        <v>57</v>
      </c>
      <c r="K118" t="s">
        <v>6</v>
      </c>
      <c r="L118" t="s">
        <v>2</v>
      </c>
      <c r="M118" t="s">
        <v>57</v>
      </c>
    </row>
    <row r="119" spans="1:13" ht="14.1" customHeight="1" x14ac:dyDescent="0.2">
      <c r="A119" s="5" t="s">
        <v>83</v>
      </c>
      <c r="B119" t="s">
        <v>1</v>
      </c>
      <c r="C119" t="s">
        <v>2</v>
      </c>
      <c r="D119" t="s">
        <v>3</v>
      </c>
      <c r="E119" s="2">
        <v>69694.259999999995</v>
      </c>
      <c r="F119" t="s">
        <v>4</v>
      </c>
      <c r="G119" t="s">
        <v>0</v>
      </c>
      <c r="H119" t="s">
        <v>7</v>
      </c>
      <c r="I119" t="s">
        <v>0</v>
      </c>
      <c r="J119" t="s">
        <v>57</v>
      </c>
      <c r="K119" t="s">
        <v>6</v>
      </c>
      <c r="L119" t="s">
        <v>2</v>
      </c>
      <c r="M119" t="s">
        <v>57</v>
      </c>
    </row>
    <row r="120" spans="1:13" ht="14.1" customHeight="1" x14ac:dyDescent="0.2">
      <c r="A120" s="5" t="s">
        <v>83</v>
      </c>
      <c r="B120" t="s">
        <v>1</v>
      </c>
      <c r="C120" t="s">
        <v>2</v>
      </c>
      <c r="D120" t="s">
        <v>3</v>
      </c>
      <c r="E120" s="2">
        <v>136569.85999999999</v>
      </c>
      <c r="F120" t="s">
        <v>4</v>
      </c>
      <c r="G120" t="s">
        <v>0</v>
      </c>
      <c r="H120" t="s">
        <v>7</v>
      </c>
      <c r="I120" t="s">
        <v>0</v>
      </c>
      <c r="J120" t="s">
        <v>57</v>
      </c>
      <c r="K120" t="s">
        <v>6</v>
      </c>
      <c r="L120" t="s">
        <v>2</v>
      </c>
      <c r="M120" t="s">
        <v>57</v>
      </c>
    </row>
    <row r="121" spans="1:13" ht="14.1" customHeight="1" x14ac:dyDescent="0.2">
      <c r="A121" s="5" t="s">
        <v>83</v>
      </c>
      <c r="B121" t="s">
        <v>1</v>
      </c>
      <c r="C121" t="s">
        <v>2</v>
      </c>
      <c r="D121" t="s">
        <v>3</v>
      </c>
      <c r="E121" s="2">
        <v>721960.27</v>
      </c>
      <c r="F121" t="s">
        <v>4</v>
      </c>
      <c r="G121" t="s">
        <v>0</v>
      </c>
      <c r="H121" t="s">
        <v>7</v>
      </c>
      <c r="I121" t="s">
        <v>0</v>
      </c>
      <c r="J121" t="s">
        <v>57</v>
      </c>
      <c r="K121" t="s">
        <v>6</v>
      </c>
      <c r="L121" t="s">
        <v>2</v>
      </c>
      <c r="M121" t="s">
        <v>57</v>
      </c>
    </row>
    <row r="122" spans="1:13" ht="14.1" customHeight="1" x14ac:dyDescent="0.2">
      <c r="A122" s="5" t="s">
        <v>83</v>
      </c>
      <c r="B122" t="s">
        <v>1</v>
      </c>
      <c r="C122" t="s">
        <v>2</v>
      </c>
      <c r="D122" t="s">
        <v>3</v>
      </c>
      <c r="E122" s="2">
        <v>85282.79</v>
      </c>
      <c r="F122" t="s">
        <v>4</v>
      </c>
      <c r="G122" t="s">
        <v>0</v>
      </c>
      <c r="H122" t="s">
        <v>7</v>
      </c>
      <c r="I122" t="s">
        <v>0</v>
      </c>
      <c r="J122" t="s">
        <v>57</v>
      </c>
      <c r="K122" t="s">
        <v>6</v>
      </c>
      <c r="L122" t="s">
        <v>2</v>
      </c>
      <c r="M122" t="s">
        <v>57</v>
      </c>
    </row>
    <row r="123" spans="1:13" ht="14.1" customHeight="1" x14ac:dyDescent="0.2">
      <c r="A123" s="5" t="s">
        <v>83</v>
      </c>
      <c r="B123" t="s">
        <v>1</v>
      </c>
      <c r="C123" t="s">
        <v>2</v>
      </c>
      <c r="D123" t="s">
        <v>3</v>
      </c>
      <c r="E123" s="2">
        <v>16244.34</v>
      </c>
      <c r="F123" t="s">
        <v>4</v>
      </c>
      <c r="G123" t="s">
        <v>0</v>
      </c>
      <c r="H123" t="s">
        <v>7</v>
      </c>
      <c r="I123" t="s">
        <v>0</v>
      </c>
      <c r="J123" t="s">
        <v>57</v>
      </c>
      <c r="K123" t="s">
        <v>6</v>
      </c>
      <c r="L123" t="s">
        <v>2</v>
      </c>
      <c r="M123" t="s">
        <v>57</v>
      </c>
    </row>
    <row r="124" spans="1:13" ht="14.1" customHeight="1" x14ac:dyDescent="0.2">
      <c r="A124" s="5" t="s">
        <v>83</v>
      </c>
      <c r="B124" t="s">
        <v>1</v>
      </c>
      <c r="C124" t="s">
        <v>2</v>
      </c>
      <c r="D124" t="s">
        <v>3</v>
      </c>
      <c r="E124" s="2">
        <v>6483.1</v>
      </c>
      <c r="F124" t="s">
        <v>4</v>
      </c>
      <c r="G124" t="s">
        <v>0</v>
      </c>
      <c r="H124" t="s">
        <v>7</v>
      </c>
      <c r="I124" t="s">
        <v>0</v>
      </c>
      <c r="J124" t="s">
        <v>57</v>
      </c>
      <c r="K124" t="s">
        <v>6</v>
      </c>
      <c r="L124" t="s">
        <v>2</v>
      </c>
      <c r="M124" t="s">
        <v>57</v>
      </c>
    </row>
    <row r="125" spans="1:13" ht="14.1" customHeight="1" x14ac:dyDescent="0.2">
      <c r="A125" s="5" t="s">
        <v>83</v>
      </c>
      <c r="B125" t="s">
        <v>1</v>
      </c>
      <c r="C125" t="s">
        <v>2</v>
      </c>
      <c r="D125" t="s">
        <v>3</v>
      </c>
      <c r="E125" s="2">
        <v>94486.77</v>
      </c>
      <c r="F125" t="s">
        <v>4</v>
      </c>
      <c r="G125" t="s">
        <v>0</v>
      </c>
      <c r="H125" t="s">
        <v>7</v>
      </c>
      <c r="I125" t="s">
        <v>0</v>
      </c>
      <c r="J125" t="s">
        <v>57</v>
      </c>
      <c r="K125" t="s">
        <v>6</v>
      </c>
      <c r="L125" t="s">
        <v>2</v>
      </c>
      <c r="M125" t="s">
        <v>57</v>
      </c>
    </row>
    <row r="126" spans="1:13" ht="14.1" customHeight="1" x14ac:dyDescent="0.2">
      <c r="A126" s="5" t="s">
        <v>83</v>
      </c>
      <c r="B126" t="s">
        <v>1</v>
      </c>
      <c r="C126" t="s">
        <v>2</v>
      </c>
      <c r="D126" t="s">
        <v>3</v>
      </c>
      <c r="E126" s="2">
        <v>378203.19</v>
      </c>
      <c r="F126" t="s">
        <v>4</v>
      </c>
      <c r="G126" t="s">
        <v>0</v>
      </c>
      <c r="H126" t="s">
        <v>7</v>
      </c>
      <c r="I126" t="s">
        <v>0</v>
      </c>
      <c r="J126" t="s">
        <v>57</v>
      </c>
      <c r="K126" t="s">
        <v>6</v>
      </c>
      <c r="L126" t="s">
        <v>2</v>
      </c>
      <c r="M126" t="s">
        <v>57</v>
      </c>
    </row>
    <row r="127" spans="1:13" ht="14.1" customHeight="1" x14ac:dyDescent="0.2">
      <c r="A127" s="5" t="s">
        <v>83</v>
      </c>
      <c r="B127" t="s">
        <v>1</v>
      </c>
      <c r="C127" t="s">
        <v>2</v>
      </c>
      <c r="D127" t="s">
        <v>3</v>
      </c>
      <c r="E127" s="2">
        <v>115982.98</v>
      </c>
      <c r="F127" t="s">
        <v>4</v>
      </c>
      <c r="G127" t="s">
        <v>0</v>
      </c>
      <c r="H127" t="s">
        <v>7</v>
      </c>
      <c r="I127" t="s">
        <v>0</v>
      </c>
      <c r="J127" t="s">
        <v>57</v>
      </c>
      <c r="K127" t="s">
        <v>6</v>
      </c>
      <c r="L127" t="s">
        <v>2</v>
      </c>
      <c r="M127" t="s">
        <v>57</v>
      </c>
    </row>
    <row r="128" spans="1:13" ht="14.1" customHeight="1" x14ac:dyDescent="0.2">
      <c r="A128" s="5" t="s">
        <v>83</v>
      </c>
      <c r="B128" t="s">
        <v>1</v>
      </c>
      <c r="C128" t="s">
        <v>2</v>
      </c>
      <c r="D128" t="s">
        <v>3</v>
      </c>
      <c r="E128" s="2">
        <v>50293.19</v>
      </c>
      <c r="F128" t="s">
        <v>4</v>
      </c>
      <c r="G128" t="s">
        <v>0</v>
      </c>
      <c r="H128" t="s">
        <v>7</v>
      </c>
      <c r="I128" t="s">
        <v>0</v>
      </c>
      <c r="J128" t="s">
        <v>57</v>
      </c>
      <c r="K128" t="s">
        <v>6</v>
      </c>
      <c r="L128" t="s">
        <v>2</v>
      </c>
      <c r="M128" t="s">
        <v>57</v>
      </c>
    </row>
    <row r="129" spans="1:13" ht="14.1" customHeight="1" x14ac:dyDescent="0.2">
      <c r="A129" s="5" t="s">
        <v>83</v>
      </c>
      <c r="B129" t="s">
        <v>1</v>
      </c>
      <c r="C129" t="s">
        <v>2</v>
      </c>
      <c r="D129" t="s">
        <v>3</v>
      </c>
      <c r="E129" s="2">
        <v>12433.02</v>
      </c>
      <c r="F129" t="s">
        <v>4</v>
      </c>
      <c r="G129" t="s">
        <v>0</v>
      </c>
      <c r="H129" t="s">
        <v>7</v>
      </c>
      <c r="I129" t="s">
        <v>0</v>
      </c>
      <c r="J129" t="s">
        <v>57</v>
      </c>
      <c r="K129" t="s">
        <v>6</v>
      </c>
      <c r="L129" t="s">
        <v>2</v>
      </c>
      <c r="M129" t="s">
        <v>57</v>
      </c>
    </row>
    <row r="130" spans="1:13" ht="14.1" customHeight="1" x14ac:dyDescent="0.2">
      <c r="A130" s="5" t="s">
        <v>83</v>
      </c>
      <c r="B130" t="s">
        <v>1</v>
      </c>
      <c r="C130" t="s">
        <v>2</v>
      </c>
      <c r="D130" t="s">
        <v>3</v>
      </c>
      <c r="E130" s="2">
        <v>6216.52</v>
      </c>
      <c r="F130" t="s">
        <v>4</v>
      </c>
      <c r="G130" t="s">
        <v>0</v>
      </c>
      <c r="H130" t="s">
        <v>7</v>
      </c>
      <c r="I130" t="s">
        <v>0</v>
      </c>
      <c r="J130" t="s">
        <v>57</v>
      </c>
      <c r="K130" t="s">
        <v>6</v>
      </c>
      <c r="L130" t="s">
        <v>2</v>
      </c>
      <c r="M130" t="s">
        <v>57</v>
      </c>
    </row>
    <row r="131" spans="1:13" ht="14.1" customHeight="1" x14ac:dyDescent="0.2">
      <c r="A131" s="5" t="s">
        <v>83</v>
      </c>
      <c r="B131" t="s">
        <v>1</v>
      </c>
      <c r="C131" t="s">
        <v>2</v>
      </c>
      <c r="D131" t="s">
        <v>3</v>
      </c>
      <c r="E131" s="2">
        <v>2709267.65</v>
      </c>
      <c r="F131" t="s">
        <v>4</v>
      </c>
      <c r="G131" t="s">
        <v>0</v>
      </c>
      <c r="H131" t="s">
        <v>7</v>
      </c>
      <c r="I131" t="s">
        <v>0</v>
      </c>
      <c r="J131" t="s">
        <v>57</v>
      </c>
      <c r="K131" t="s">
        <v>6</v>
      </c>
      <c r="L131" t="s">
        <v>2</v>
      </c>
      <c r="M131" t="s">
        <v>57</v>
      </c>
    </row>
    <row r="132" spans="1:13" ht="14.1" customHeight="1" x14ac:dyDescent="0.2">
      <c r="A132" s="5" t="s">
        <v>83</v>
      </c>
      <c r="B132" t="s">
        <v>1</v>
      </c>
      <c r="C132" t="s">
        <v>2</v>
      </c>
      <c r="D132" t="s">
        <v>3</v>
      </c>
      <c r="E132" s="2">
        <v>4044.7</v>
      </c>
      <c r="F132" t="s">
        <v>4</v>
      </c>
      <c r="G132" t="s">
        <v>0</v>
      </c>
      <c r="H132" t="s">
        <v>7</v>
      </c>
      <c r="I132" t="s">
        <v>0</v>
      </c>
      <c r="J132" t="s">
        <v>56</v>
      </c>
      <c r="K132" t="s">
        <v>6</v>
      </c>
      <c r="L132" t="s">
        <v>2</v>
      </c>
      <c r="M132" t="s">
        <v>56</v>
      </c>
    </row>
    <row r="133" spans="1:13" ht="14.1" customHeight="1" x14ac:dyDescent="0.2">
      <c r="A133" s="5" t="s">
        <v>83</v>
      </c>
      <c r="B133" t="s">
        <v>1</v>
      </c>
      <c r="C133" t="s">
        <v>2</v>
      </c>
      <c r="D133" t="s">
        <v>3</v>
      </c>
      <c r="E133" s="2">
        <v>820.26</v>
      </c>
      <c r="F133" t="s">
        <v>4</v>
      </c>
      <c r="G133" t="s">
        <v>0</v>
      </c>
      <c r="H133" t="s">
        <v>7</v>
      </c>
      <c r="I133" t="s">
        <v>0</v>
      </c>
      <c r="J133" t="s">
        <v>56</v>
      </c>
      <c r="K133" t="s">
        <v>6</v>
      </c>
      <c r="L133" t="s">
        <v>2</v>
      </c>
      <c r="M133" t="s">
        <v>56</v>
      </c>
    </row>
    <row r="134" spans="1:13" ht="14.1" customHeight="1" x14ac:dyDescent="0.2">
      <c r="A134" s="5" t="s">
        <v>83</v>
      </c>
      <c r="B134" t="s">
        <v>1</v>
      </c>
      <c r="C134" t="s">
        <v>2</v>
      </c>
      <c r="D134" t="s">
        <v>3</v>
      </c>
      <c r="E134" s="2">
        <v>820.26</v>
      </c>
      <c r="F134" t="s">
        <v>4</v>
      </c>
      <c r="G134" t="s">
        <v>0</v>
      </c>
      <c r="H134" t="s">
        <v>7</v>
      </c>
      <c r="I134" t="s">
        <v>0</v>
      </c>
      <c r="J134" t="s">
        <v>56</v>
      </c>
      <c r="K134" t="s">
        <v>6</v>
      </c>
      <c r="L134" t="s">
        <v>2</v>
      </c>
      <c r="M134" t="s">
        <v>56</v>
      </c>
    </row>
    <row r="135" spans="1:13" ht="14.1" customHeight="1" x14ac:dyDescent="0.2">
      <c r="A135" s="5" t="s">
        <v>83</v>
      </c>
      <c r="B135" t="s">
        <v>1</v>
      </c>
      <c r="C135" t="s">
        <v>2</v>
      </c>
      <c r="D135" t="s">
        <v>3</v>
      </c>
      <c r="E135" s="2">
        <v>598220.80000000005</v>
      </c>
      <c r="F135" t="s">
        <v>4</v>
      </c>
      <c r="G135" t="s">
        <v>0</v>
      </c>
      <c r="H135" t="s">
        <v>7</v>
      </c>
      <c r="I135" t="s">
        <v>0</v>
      </c>
      <c r="J135" t="s">
        <v>56</v>
      </c>
      <c r="K135" t="s">
        <v>6</v>
      </c>
      <c r="L135" t="s">
        <v>2</v>
      </c>
      <c r="M135" t="s">
        <v>56</v>
      </c>
    </row>
    <row r="136" spans="1:13" ht="14.1" customHeight="1" x14ac:dyDescent="0.2">
      <c r="A136" s="5" t="s">
        <v>83</v>
      </c>
      <c r="B136" t="s">
        <v>1</v>
      </c>
      <c r="C136" t="s">
        <v>2</v>
      </c>
      <c r="D136" t="s">
        <v>3</v>
      </c>
      <c r="E136" s="2">
        <v>84432.960000000006</v>
      </c>
      <c r="F136" t="s">
        <v>4</v>
      </c>
      <c r="G136" t="s">
        <v>0</v>
      </c>
      <c r="H136" t="s">
        <v>7</v>
      </c>
      <c r="I136" t="s">
        <v>0</v>
      </c>
      <c r="J136" t="s">
        <v>57</v>
      </c>
      <c r="K136" t="s">
        <v>6</v>
      </c>
      <c r="L136" t="s">
        <v>2</v>
      </c>
      <c r="M136" t="s">
        <v>57</v>
      </c>
    </row>
    <row r="137" spans="1:13" ht="14.1" customHeight="1" x14ac:dyDescent="0.2">
      <c r="A137" s="5" t="s">
        <v>83</v>
      </c>
      <c r="B137" t="s">
        <v>1</v>
      </c>
      <c r="C137" t="s">
        <v>2</v>
      </c>
      <c r="D137" t="s">
        <v>3</v>
      </c>
      <c r="E137" s="2">
        <v>253520.54</v>
      </c>
      <c r="F137" t="s">
        <v>4</v>
      </c>
      <c r="G137" t="s">
        <v>0</v>
      </c>
      <c r="H137" t="s">
        <v>7</v>
      </c>
      <c r="I137" t="s">
        <v>0</v>
      </c>
      <c r="J137" t="s">
        <v>57</v>
      </c>
      <c r="K137" t="s">
        <v>6</v>
      </c>
      <c r="L137" t="s">
        <v>2</v>
      </c>
      <c r="M137" t="s">
        <v>57</v>
      </c>
    </row>
    <row r="138" spans="1:13" ht="14.1" customHeight="1" x14ac:dyDescent="0.2">
      <c r="A138" s="5" t="s">
        <v>83</v>
      </c>
      <c r="B138" t="s">
        <v>1</v>
      </c>
      <c r="C138" t="s">
        <v>2</v>
      </c>
      <c r="D138" t="s">
        <v>3</v>
      </c>
      <c r="E138" s="2">
        <v>203513.87</v>
      </c>
      <c r="F138" t="s">
        <v>4</v>
      </c>
      <c r="G138" t="s">
        <v>0</v>
      </c>
      <c r="H138" t="s">
        <v>7</v>
      </c>
      <c r="I138" t="s">
        <v>0</v>
      </c>
      <c r="J138" t="s">
        <v>56</v>
      </c>
      <c r="K138" t="s">
        <v>6</v>
      </c>
      <c r="L138" t="s">
        <v>2</v>
      </c>
      <c r="M138" t="s">
        <v>56</v>
      </c>
    </row>
    <row r="139" spans="1:13" ht="14.1" customHeight="1" x14ac:dyDescent="0.2">
      <c r="A139" s="5" t="s">
        <v>83</v>
      </c>
      <c r="B139" t="s">
        <v>1</v>
      </c>
      <c r="C139" t="s">
        <v>2</v>
      </c>
      <c r="D139" t="s">
        <v>3</v>
      </c>
      <c r="E139" s="2">
        <v>294972.43</v>
      </c>
      <c r="F139" t="s">
        <v>4</v>
      </c>
      <c r="G139" t="s">
        <v>0</v>
      </c>
      <c r="H139" t="s">
        <v>7</v>
      </c>
      <c r="I139" t="s">
        <v>0</v>
      </c>
      <c r="J139" t="s">
        <v>56</v>
      </c>
      <c r="K139" t="s">
        <v>6</v>
      </c>
      <c r="L139" t="s">
        <v>2</v>
      </c>
      <c r="M139" t="s">
        <v>56</v>
      </c>
    </row>
    <row r="140" spans="1:13" ht="14.1" customHeight="1" x14ac:dyDescent="0.2">
      <c r="A140" s="5" t="s">
        <v>83</v>
      </c>
      <c r="B140" t="s">
        <v>1</v>
      </c>
      <c r="C140" t="s">
        <v>2</v>
      </c>
      <c r="D140" t="s">
        <v>3</v>
      </c>
      <c r="E140" s="2">
        <v>380532.24</v>
      </c>
      <c r="F140" t="s">
        <v>4</v>
      </c>
      <c r="G140" t="s">
        <v>0</v>
      </c>
      <c r="H140" t="s">
        <v>7</v>
      </c>
      <c r="I140" t="s">
        <v>0</v>
      </c>
      <c r="J140" t="s">
        <v>56</v>
      </c>
      <c r="K140" t="s">
        <v>6</v>
      </c>
      <c r="L140" t="s">
        <v>2</v>
      </c>
      <c r="M140" t="s">
        <v>56</v>
      </c>
    </row>
    <row r="141" spans="1:13" ht="14.1" customHeight="1" x14ac:dyDescent="0.2">
      <c r="A141" s="5" t="s">
        <v>83</v>
      </c>
      <c r="B141" t="s">
        <v>1</v>
      </c>
      <c r="C141" t="s">
        <v>2</v>
      </c>
      <c r="D141" t="s">
        <v>3</v>
      </c>
      <c r="E141" s="2">
        <v>2196.81</v>
      </c>
      <c r="F141" t="s">
        <v>4</v>
      </c>
      <c r="G141" t="s">
        <v>0</v>
      </c>
      <c r="H141" t="s">
        <v>7</v>
      </c>
      <c r="I141" t="s">
        <v>0</v>
      </c>
      <c r="J141" t="s">
        <v>56</v>
      </c>
      <c r="K141" t="s">
        <v>6</v>
      </c>
      <c r="L141" t="s">
        <v>2</v>
      </c>
      <c r="M141" t="s">
        <v>56</v>
      </c>
    </row>
    <row r="142" spans="1:13" ht="14.1" customHeight="1" x14ac:dyDescent="0.2">
      <c r="A142" s="5" t="s">
        <v>83</v>
      </c>
      <c r="B142" t="s">
        <v>1</v>
      </c>
      <c r="C142" t="s">
        <v>2</v>
      </c>
      <c r="D142" t="s">
        <v>3</v>
      </c>
      <c r="E142" s="2">
        <v>6013.5</v>
      </c>
      <c r="F142" t="s">
        <v>4</v>
      </c>
      <c r="G142" t="s">
        <v>0</v>
      </c>
      <c r="H142" t="s">
        <v>7</v>
      </c>
      <c r="I142" t="s">
        <v>0</v>
      </c>
      <c r="J142" t="s">
        <v>56</v>
      </c>
      <c r="K142" t="s">
        <v>6</v>
      </c>
      <c r="L142" t="s">
        <v>2</v>
      </c>
      <c r="M142" t="s">
        <v>56</v>
      </c>
    </row>
    <row r="143" spans="1:13" ht="14.1" customHeight="1" x14ac:dyDescent="0.2">
      <c r="A143" s="5" t="s">
        <v>83</v>
      </c>
      <c r="B143" t="s">
        <v>1</v>
      </c>
      <c r="C143" t="s">
        <v>2</v>
      </c>
      <c r="D143" t="s">
        <v>3</v>
      </c>
      <c r="E143" s="2">
        <v>4374.05</v>
      </c>
      <c r="F143" t="s">
        <v>4</v>
      </c>
      <c r="G143" t="s">
        <v>0</v>
      </c>
      <c r="H143" t="s">
        <v>7</v>
      </c>
      <c r="I143" t="s">
        <v>0</v>
      </c>
      <c r="J143" t="s">
        <v>57</v>
      </c>
      <c r="K143" t="s">
        <v>6</v>
      </c>
      <c r="L143" t="s">
        <v>2</v>
      </c>
      <c r="M143" t="s">
        <v>57</v>
      </c>
    </row>
    <row r="144" spans="1:13" ht="14.1" customHeight="1" x14ac:dyDescent="0.2">
      <c r="A144" s="5" t="s">
        <v>83</v>
      </c>
      <c r="B144" t="s">
        <v>1</v>
      </c>
      <c r="C144" t="s">
        <v>2</v>
      </c>
      <c r="D144" t="s">
        <v>3</v>
      </c>
      <c r="E144" s="2">
        <v>10072.61</v>
      </c>
      <c r="F144" t="s">
        <v>4</v>
      </c>
      <c r="G144" t="s">
        <v>0</v>
      </c>
      <c r="H144" t="s">
        <v>7</v>
      </c>
      <c r="I144" t="s">
        <v>0</v>
      </c>
      <c r="J144" t="s">
        <v>56</v>
      </c>
      <c r="K144" t="s">
        <v>6</v>
      </c>
      <c r="L144" t="s">
        <v>2</v>
      </c>
      <c r="M144" t="s">
        <v>56</v>
      </c>
    </row>
    <row r="145" spans="1:13" ht="14.1" customHeight="1" x14ac:dyDescent="0.2">
      <c r="A145" s="5" t="s">
        <v>83</v>
      </c>
      <c r="B145" t="s">
        <v>1</v>
      </c>
      <c r="C145" t="s">
        <v>2</v>
      </c>
      <c r="D145" t="s">
        <v>3</v>
      </c>
      <c r="E145" s="2">
        <v>972.67</v>
      </c>
      <c r="F145" t="s">
        <v>4</v>
      </c>
      <c r="G145" t="s">
        <v>0</v>
      </c>
      <c r="H145" t="s">
        <v>7</v>
      </c>
      <c r="I145" t="s">
        <v>0</v>
      </c>
      <c r="J145" t="s">
        <v>56</v>
      </c>
      <c r="K145" t="s">
        <v>6</v>
      </c>
      <c r="L145" t="s">
        <v>2</v>
      </c>
      <c r="M145" t="s">
        <v>56</v>
      </c>
    </row>
    <row r="146" spans="1:13" ht="14.1" customHeight="1" x14ac:dyDescent="0.2">
      <c r="A146" s="5" t="s">
        <v>83</v>
      </c>
      <c r="B146" t="s">
        <v>1</v>
      </c>
      <c r="C146" t="s">
        <v>2</v>
      </c>
      <c r="D146" t="s">
        <v>3</v>
      </c>
      <c r="E146" s="2">
        <v>5578.11</v>
      </c>
      <c r="F146" t="s">
        <v>4</v>
      </c>
      <c r="G146" t="s">
        <v>0</v>
      </c>
      <c r="H146" t="s">
        <v>7</v>
      </c>
      <c r="I146" t="s">
        <v>0</v>
      </c>
      <c r="J146" t="s">
        <v>56</v>
      </c>
      <c r="K146" t="s">
        <v>6</v>
      </c>
      <c r="L146" t="s">
        <v>2</v>
      </c>
      <c r="M146" t="s">
        <v>56</v>
      </c>
    </row>
    <row r="147" spans="1:13" ht="14.1" customHeight="1" x14ac:dyDescent="0.2">
      <c r="A147" s="5" t="s">
        <v>83</v>
      </c>
      <c r="B147" t="s">
        <v>1</v>
      </c>
      <c r="C147" t="s">
        <v>2</v>
      </c>
      <c r="D147" t="s">
        <v>3</v>
      </c>
      <c r="E147" s="2">
        <v>11436.96</v>
      </c>
      <c r="F147" t="s">
        <v>4</v>
      </c>
      <c r="G147" t="s">
        <v>0</v>
      </c>
      <c r="H147" t="s">
        <v>7</v>
      </c>
      <c r="I147" t="s">
        <v>0</v>
      </c>
      <c r="J147" t="s">
        <v>57</v>
      </c>
      <c r="K147" t="s">
        <v>6</v>
      </c>
      <c r="L147" t="s">
        <v>2</v>
      </c>
      <c r="M147" t="s">
        <v>57</v>
      </c>
    </row>
    <row r="148" spans="1:13" ht="14.1" customHeight="1" x14ac:dyDescent="0.2">
      <c r="A148" s="5" t="s">
        <v>83</v>
      </c>
      <c r="B148" t="s">
        <v>1</v>
      </c>
      <c r="C148" t="s">
        <v>2</v>
      </c>
      <c r="D148" t="s">
        <v>3</v>
      </c>
      <c r="E148" s="2">
        <v>7352.33</v>
      </c>
      <c r="F148" t="s">
        <v>4</v>
      </c>
      <c r="G148" t="s">
        <v>0</v>
      </c>
      <c r="H148" t="s">
        <v>7</v>
      </c>
      <c r="I148" t="s">
        <v>0</v>
      </c>
      <c r="J148" t="s">
        <v>57</v>
      </c>
      <c r="K148" t="s">
        <v>6</v>
      </c>
      <c r="L148" t="s">
        <v>2</v>
      </c>
      <c r="M148" t="s">
        <v>57</v>
      </c>
    </row>
    <row r="149" spans="1:13" ht="14.1" customHeight="1" x14ac:dyDescent="0.2">
      <c r="A149" s="5" t="s">
        <v>83</v>
      </c>
      <c r="B149" t="s">
        <v>1</v>
      </c>
      <c r="C149" t="s">
        <v>2</v>
      </c>
      <c r="D149" t="s">
        <v>3</v>
      </c>
      <c r="E149" s="2">
        <v>2450.7800000000002</v>
      </c>
      <c r="F149" t="s">
        <v>4</v>
      </c>
      <c r="G149" t="s">
        <v>0</v>
      </c>
      <c r="H149" t="s">
        <v>7</v>
      </c>
      <c r="I149" t="s">
        <v>0</v>
      </c>
      <c r="J149" t="s">
        <v>57</v>
      </c>
      <c r="K149" t="s">
        <v>6</v>
      </c>
      <c r="L149" t="s">
        <v>2</v>
      </c>
      <c r="M149" t="s">
        <v>57</v>
      </c>
    </row>
    <row r="150" spans="1:13" ht="14.1" customHeight="1" x14ac:dyDescent="0.2">
      <c r="A150" s="5" t="s">
        <v>83</v>
      </c>
      <c r="B150" t="s">
        <v>1</v>
      </c>
      <c r="C150" t="s">
        <v>2</v>
      </c>
      <c r="D150" t="s">
        <v>3</v>
      </c>
      <c r="E150" s="2">
        <v>1633.85</v>
      </c>
      <c r="F150" t="s">
        <v>4</v>
      </c>
      <c r="G150" t="s">
        <v>0</v>
      </c>
      <c r="H150" t="s">
        <v>7</v>
      </c>
      <c r="I150" t="s">
        <v>0</v>
      </c>
      <c r="J150" t="s">
        <v>57</v>
      </c>
      <c r="K150" t="s">
        <v>6</v>
      </c>
      <c r="L150" t="s">
        <v>2</v>
      </c>
      <c r="M150" t="s">
        <v>57</v>
      </c>
    </row>
    <row r="151" spans="1:13" ht="14.1" customHeight="1" x14ac:dyDescent="0.2">
      <c r="A151" s="5" t="s">
        <v>83</v>
      </c>
      <c r="B151" t="s">
        <v>1</v>
      </c>
      <c r="C151" t="s">
        <v>2</v>
      </c>
      <c r="D151" t="s">
        <v>3</v>
      </c>
      <c r="E151" s="2">
        <v>80684.929999999993</v>
      </c>
      <c r="F151" t="s">
        <v>4</v>
      </c>
      <c r="G151" t="s">
        <v>0</v>
      </c>
      <c r="H151" t="s">
        <v>7</v>
      </c>
      <c r="I151" t="s">
        <v>0</v>
      </c>
      <c r="J151" t="s">
        <v>56</v>
      </c>
      <c r="K151" t="s">
        <v>6</v>
      </c>
      <c r="L151" t="s">
        <v>2</v>
      </c>
      <c r="M151" t="s">
        <v>56</v>
      </c>
    </row>
    <row r="152" spans="1:13" ht="14.1" customHeight="1" x14ac:dyDescent="0.2">
      <c r="A152" s="5" t="s">
        <v>83</v>
      </c>
      <c r="B152" t="s">
        <v>1</v>
      </c>
      <c r="C152" t="s">
        <v>2</v>
      </c>
      <c r="D152" t="s">
        <v>3</v>
      </c>
      <c r="E152" s="2">
        <v>41663.620000000003</v>
      </c>
      <c r="F152" t="s">
        <v>4</v>
      </c>
      <c r="G152" t="s">
        <v>0</v>
      </c>
      <c r="H152" t="s">
        <v>7</v>
      </c>
      <c r="I152" t="s">
        <v>0</v>
      </c>
      <c r="J152" t="s">
        <v>56</v>
      </c>
      <c r="K152" t="s">
        <v>6</v>
      </c>
      <c r="L152" t="s">
        <v>2</v>
      </c>
      <c r="M152" t="s">
        <v>56</v>
      </c>
    </row>
    <row r="153" spans="1:13" ht="14.1" customHeight="1" x14ac:dyDescent="0.2">
      <c r="A153" s="5" t="s">
        <v>83</v>
      </c>
      <c r="B153" t="s">
        <v>1</v>
      </c>
      <c r="C153" t="s">
        <v>2</v>
      </c>
      <c r="D153" t="s">
        <v>3</v>
      </c>
      <c r="E153" s="2">
        <v>32526.19</v>
      </c>
      <c r="F153" t="s">
        <v>4</v>
      </c>
      <c r="G153" t="s">
        <v>0</v>
      </c>
      <c r="H153" t="s">
        <v>7</v>
      </c>
      <c r="I153" t="s">
        <v>0</v>
      </c>
      <c r="J153" t="s">
        <v>56</v>
      </c>
      <c r="K153" t="s">
        <v>6</v>
      </c>
      <c r="L153" t="s">
        <v>2</v>
      </c>
      <c r="M153" t="s">
        <v>56</v>
      </c>
    </row>
    <row r="154" spans="1:13" ht="14.1" customHeight="1" x14ac:dyDescent="0.2">
      <c r="A154" s="5" t="s">
        <v>83</v>
      </c>
      <c r="B154" t="s">
        <v>1</v>
      </c>
      <c r="C154" t="s">
        <v>2</v>
      </c>
      <c r="D154" t="s">
        <v>3</v>
      </c>
      <c r="E154" s="2">
        <v>1804.8</v>
      </c>
      <c r="F154" t="s">
        <v>4</v>
      </c>
      <c r="G154" t="s">
        <v>0</v>
      </c>
      <c r="H154" t="s">
        <v>7</v>
      </c>
      <c r="I154" t="s">
        <v>0</v>
      </c>
      <c r="J154" t="s">
        <v>57</v>
      </c>
      <c r="K154" t="s">
        <v>6</v>
      </c>
      <c r="L154" t="s">
        <v>2</v>
      </c>
      <c r="M154" t="s">
        <v>57</v>
      </c>
    </row>
    <row r="155" spans="1:13" ht="14.1" customHeight="1" x14ac:dyDescent="0.2">
      <c r="A155" s="5" t="s">
        <v>83</v>
      </c>
      <c r="B155" t="s">
        <v>1</v>
      </c>
      <c r="C155" t="s">
        <v>2</v>
      </c>
      <c r="D155" t="s">
        <v>3</v>
      </c>
      <c r="E155" s="2">
        <v>849.32</v>
      </c>
      <c r="F155" t="s">
        <v>4</v>
      </c>
      <c r="G155" t="s">
        <v>0</v>
      </c>
      <c r="H155" t="s">
        <v>7</v>
      </c>
      <c r="I155" t="s">
        <v>0</v>
      </c>
      <c r="J155" t="s">
        <v>57</v>
      </c>
      <c r="K155" t="s">
        <v>6</v>
      </c>
      <c r="L155" t="s">
        <v>2</v>
      </c>
      <c r="M155" t="s">
        <v>57</v>
      </c>
    </row>
    <row r="156" spans="1:13" ht="14.1" customHeight="1" x14ac:dyDescent="0.2">
      <c r="A156" s="5" t="s">
        <v>83</v>
      </c>
      <c r="B156" t="s">
        <v>1</v>
      </c>
      <c r="C156" t="s">
        <v>2</v>
      </c>
      <c r="D156" t="s">
        <v>3</v>
      </c>
      <c r="E156" s="2">
        <v>540405.36</v>
      </c>
      <c r="F156" t="s">
        <v>4</v>
      </c>
      <c r="G156" t="s">
        <v>0</v>
      </c>
      <c r="H156" t="s">
        <v>7</v>
      </c>
      <c r="I156" t="s">
        <v>0</v>
      </c>
      <c r="J156" t="s">
        <v>57</v>
      </c>
      <c r="K156" t="s">
        <v>6</v>
      </c>
      <c r="L156" t="s">
        <v>2</v>
      </c>
      <c r="M156" t="s">
        <v>57</v>
      </c>
    </row>
    <row r="157" spans="1:13" ht="14.1" customHeight="1" x14ac:dyDescent="0.2">
      <c r="A157" s="5" t="s">
        <v>83</v>
      </c>
      <c r="B157" t="s">
        <v>1</v>
      </c>
      <c r="C157" t="s">
        <v>2</v>
      </c>
      <c r="D157" t="s">
        <v>3</v>
      </c>
      <c r="E157" s="2">
        <v>205781.08</v>
      </c>
      <c r="F157" t="s">
        <v>4</v>
      </c>
      <c r="G157" t="s">
        <v>0</v>
      </c>
      <c r="H157" t="s">
        <v>7</v>
      </c>
      <c r="I157" t="s">
        <v>0</v>
      </c>
      <c r="J157" t="s">
        <v>57</v>
      </c>
      <c r="K157" t="s">
        <v>6</v>
      </c>
      <c r="L157" t="s">
        <v>2</v>
      </c>
      <c r="M157" t="s">
        <v>57</v>
      </c>
    </row>
    <row r="158" spans="1:13" ht="14.1" customHeight="1" x14ac:dyDescent="0.2">
      <c r="A158" s="5" t="s">
        <v>83</v>
      </c>
      <c r="B158" t="s">
        <v>1</v>
      </c>
      <c r="C158" t="s">
        <v>2</v>
      </c>
      <c r="D158" t="s">
        <v>3</v>
      </c>
      <c r="E158" s="2">
        <v>75935.399999999994</v>
      </c>
      <c r="F158" t="s">
        <v>4</v>
      </c>
      <c r="G158" t="s">
        <v>0</v>
      </c>
      <c r="H158" t="s">
        <v>7</v>
      </c>
      <c r="I158" t="s">
        <v>0</v>
      </c>
      <c r="J158" t="s">
        <v>57</v>
      </c>
      <c r="K158" t="s">
        <v>6</v>
      </c>
      <c r="L158" t="s">
        <v>2</v>
      </c>
      <c r="M158" t="s">
        <v>57</v>
      </c>
    </row>
    <row r="159" spans="1:13" ht="14.1" customHeight="1" x14ac:dyDescent="0.2">
      <c r="A159" s="5" t="s">
        <v>83</v>
      </c>
      <c r="B159" t="s">
        <v>1</v>
      </c>
      <c r="C159" t="s">
        <v>2</v>
      </c>
      <c r="D159" t="s">
        <v>3</v>
      </c>
      <c r="E159" s="2">
        <v>77690.53</v>
      </c>
      <c r="F159" t="s">
        <v>4</v>
      </c>
      <c r="G159" t="s">
        <v>0</v>
      </c>
      <c r="H159" t="s">
        <v>7</v>
      </c>
      <c r="I159" t="s">
        <v>0</v>
      </c>
      <c r="J159" t="s">
        <v>57</v>
      </c>
      <c r="K159" t="s">
        <v>6</v>
      </c>
      <c r="L159" t="s">
        <v>2</v>
      </c>
      <c r="M159" t="s">
        <v>57</v>
      </c>
    </row>
    <row r="160" spans="1:13" ht="14.1" customHeight="1" x14ac:dyDescent="0.2">
      <c r="A160" s="5" t="s">
        <v>83</v>
      </c>
      <c r="B160" t="s">
        <v>1</v>
      </c>
      <c r="C160" t="s">
        <v>2</v>
      </c>
      <c r="D160" t="s">
        <v>3</v>
      </c>
      <c r="E160" s="2">
        <v>355500.05</v>
      </c>
      <c r="F160" t="s">
        <v>4</v>
      </c>
      <c r="G160" t="s">
        <v>0</v>
      </c>
      <c r="H160" t="s">
        <v>7</v>
      </c>
      <c r="I160" t="s">
        <v>0</v>
      </c>
      <c r="J160" t="s">
        <v>57</v>
      </c>
      <c r="K160" t="s">
        <v>6</v>
      </c>
      <c r="L160" t="s">
        <v>2</v>
      </c>
      <c r="M160" t="s">
        <v>57</v>
      </c>
    </row>
    <row r="161" spans="1:13" ht="14.1" customHeight="1" x14ac:dyDescent="0.2">
      <c r="A161" s="5" t="s">
        <v>83</v>
      </c>
      <c r="B161" t="s">
        <v>1</v>
      </c>
      <c r="C161" t="s">
        <v>2</v>
      </c>
      <c r="D161" t="s">
        <v>3</v>
      </c>
      <c r="E161" s="2">
        <v>59320.51</v>
      </c>
      <c r="F161" t="s">
        <v>4</v>
      </c>
      <c r="G161" t="s">
        <v>0</v>
      </c>
      <c r="H161" t="s">
        <v>7</v>
      </c>
      <c r="I161" t="s">
        <v>0</v>
      </c>
      <c r="J161" t="s">
        <v>57</v>
      </c>
      <c r="K161" t="s">
        <v>6</v>
      </c>
      <c r="L161" t="s">
        <v>2</v>
      </c>
      <c r="M161" t="s">
        <v>57</v>
      </c>
    </row>
    <row r="162" spans="1:13" ht="14.1" customHeight="1" x14ac:dyDescent="0.2">
      <c r="A162" s="5" t="s">
        <v>83</v>
      </c>
      <c r="B162" t="s">
        <v>1</v>
      </c>
      <c r="C162" t="s">
        <v>2</v>
      </c>
      <c r="D162" t="s">
        <v>3</v>
      </c>
      <c r="E162" s="2">
        <v>329.54</v>
      </c>
      <c r="F162" t="s">
        <v>4</v>
      </c>
      <c r="G162" t="s">
        <v>0</v>
      </c>
      <c r="H162" t="s">
        <v>7</v>
      </c>
      <c r="I162" t="s">
        <v>0</v>
      </c>
      <c r="J162" t="s">
        <v>56</v>
      </c>
      <c r="K162" t="s">
        <v>6</v>
      </c>
      <c r="L162" t="s">
        <v>2</v>
      </c>
      <c r="M162" t="s">
        <v>56</v>
      </c>
    </row>
    <row r="163" spans="1:13" ht="14.1" customHeight="1" x14ac:dyDescent="0.2">
      <c r="A163" s="5" t="s">
        <v>83</v>
      </c>
      <c r="B163" t="s">
        <v>1</v>
      </c>
      <c r="C163" t="s">
        <v>2</v>
      </c>
      <c r="D163" t="s">
        <v>3</v>
      </c>
      <c r="E163" s="2">
        <v>929441.2</v>
      </c>
      <c r="F163" t="s">
        <v>4</v>
      </c>
      <c r="G163" t="s">
        <v>0</v>
      </c>
      <c r="H163" t="s">
        <v>7</v>
      </c>
      <c r="I163" t="s">
        <v>0</v>
      </c>
      <c r="J163" t="s">
        <v>56</v>
      </c>
      <c r="K163" t="s">
        <v>6</v>
      </c>
      <c r="L163" t="s">
        <v>2</v>
      </c>
      <c r="M163" t="s">
        <v>56</v>
      </c>
    </row>
    <row r="164" spans="1:13" ht="14.1" customHeight="1" x14ac:dyDescent="0.2">
      <c r="A164" s="5" t="s">
        <v>83</v>
      </c>
      <c r="B164" t="s">
        <v>1</v>
      </c>
      <c r="C164" t="s">
        <v>2</v>
      </c>
      <c r="D164" t="s">
        <v>3</v>
      </c>
      <c r="E164" s="2">
        <v>139416.18</v>
      </c>
      <c r="F164" t="s">
        <v>4</v>
      </c>
      <c r="G164" t="s">
        <v>0</v>
      </c>
      <c r="H164" t="s">
        <v>7</v>
      </c>
      <c r="I164" t="s">
        <v>0</v>
      </c>
      <c r="J164" t="s">
        <v>56</v>
      </c>
      <c r="K164" t="s">
        <v>6</v>
      </c>
      <c r="L164" t="s">
        <v>2</v>
      </c>
      <c r="M164" t="s">
        <v>56</v>
      </c>
    </row>
    <row r="165" spans="1:13" ht="14.1" customHeight="1" x14ac:dyDescent="0.2">
      <c r="A165" s="5" t="s">
        <v>83</v>
      </c>
      <c r="B165" t="s">
        <v>1</v>
      </c>
      <c r="C165" t="s">
        <v>2</v>
      </c>
      <c r="D165" t="s">
        <v>3</v>
      </c>
      <c r="E165" s="2">
        <v>2463.0100000000002</v>
      </c>
      <c r="F165" t="s">
        <v>4</v>
      </c>
      <c r="G165" t="s">
        <v>0</v>
      </c>
      <c r="H165" t="s">
        <v>7</v>
      </c>
      <c r="I165" t="s">
        <v>0</v>
      </c>
      <c r="J165" t="s">
        <v>57</v>
      </c>
      <c r="K165" t="s">
        <v>6</v>
      </c>
      <c r="L165" t="s">
        <v>2</v>
      </c>
      <c r="M165" t="s">
        <v>57</v>
      </c>
    </row>
    <row r="166" spans="1:13" ht="14.1" customHeight="1" x14ac:dyDescent="0.2">
      <c r="A166" s="5" t="s">
        <v>83</v>
      </c>
      <c r="B166" t="s">
        <v>1</v>
      </c>
      <c r="C166" t="s">
        <v>2</v>
      </c>
      <c r="D166" t="s">
        <v>3</v>
      </c>
      <c r="E166" s="2">
        <v>5140.05</v>
      </c>
      <c r="F166" t="s">
        <v>4</v>
      </c>
      <c r="G166" t="s">
        <v>0</v>
      </c>
      <c r="H166" t="s">
        <v>7</v>
      </c>
      <c r="I166" t="s">
        <v>0</v>
      </c>
      <c r="J166" t="s">
        <v>56</v>
      </c>
      <c r="K166" t="s">
        <v>6</v>
      </c>
      <c r="L166" t="s">
        <v>2</v>
      </c>
      <c r="M166" t="s">
        <v>56</v>
      </c>
    </row>
    <row r="167" spans="1:13" ht="14.1" customHeight="1" x14ac:dyDescent="0.2">
      <c r="A167" s="5" t="s">
        <v>83</v>
      </c>
      <c r="B167" t="s">
        <v>1</v>
      </c>
      <c r="C167" t="s">
        <v>2</v>
      </c>
      <c r="D167" t="s">
        <v>3</v>
      </c>
      <c r="E167" s="2">
        <v>169863.01</v>
      </c>
      <c r="F167" t="s">
        <v>4</v>
      </c>
      <c r="G167" t="s">
        <v>0</v>
      </c>
      <c r="H167" t="s">
        <v>7</v>
      </c>
      <c r="I167" t="s">
        <v>0</v>
      </c>
      <c r="J167" t="s">
        <v>57</v>
      </c>
      <c r="K167" t="s">
        <v>6</v>
      </c>
      <c r="L167" t="s">
        <v>2</v>
      </c>
      <c r="M167" t="s">
        <v>57</v>
      </c>
    </row>
    <row r="168" spans="1:13" ht="14.1" customHeight="1" x14ac:dyDescent="0.2">
      <c r="A168" s="5" t="s">
        <v>83</v>
      </c>
      <c r="B168" t="s">
        <v>1</v>
      </c>
      <c r="C168" t="s">
        <v>2</v>
      </c>
      <c r="D168" t="s">
        <v>3</v>
      </c>
      <c r="E168" s="2">
        <v>23354.75</v>
      </c>
      <c r="F168" t="s">
        <v>4</v>
      </c>
      <c r="G168" t="s">
        <v>0</v>
      </c>
      <c r="H168" t="s">
        <v>7</v>
      </c>
      <c r="I168" t="s">
        <v>0</v>
      </c>
      <c r="J168" t="s">
        <v>57</v>
      </c>
      <c r="K168" t="s">
        <v>6</v>
      </c>
      <c r="L168" t="s">
        <v>2</v>
      </c>
      <c r="M168" t="s">
        <v>57</v>
      </c>
    </row>
    <row r="169" spans="1:13" ht="14.1" customHeight="1" x14ac:dyDescent="0.2">
      <c r="A169" s="5" t="s">
        <v>83</v>
      </c>
      <c r="B169" t="s">
        <v>1</v>
      </c>
      <c r="C169" t="s">
        <v>2</v>
      </c>
      <c r="D169" t="s">
        <v>3</v>
      </c>
      <c r="E169" s="2">
        <v>250795.62</v>
      </c>
      <c r="F169" t="s">
        <v>4</v>
      </c>
      <c r="G169" t="s">
        <v>0</v>
      </c>
      <c r="H169" t="s">
        <v>7</v>
      </c>
      <c r="I169" t="s">
        <v>0</v>
      </c>
      <c r="J169" t="s">
        <v>56</v>
      </c>
      <c r="K169" t="s">
        <v>6</v>
      </c>
      <c r="L169" t="s">
        <v>2</v>
      </c>
      <c r="M169" t="s">
        <v>56</v>
      </c>
    </row>
    <row r="170" spans="1:13" ht="14.1" customHeight="1" x14ac:dyDescent="0.2">
      <c r="A170" s="5" t="s">
        <v>83</v>
      </c>
      <c r="B170" t="s">
        <v>1</v>
      </c>
      <c r="C170" t="s">
        <v>2</v>
      </c>
      <c r="D170" t="s">
        <v>3</v>
      </c>
      <c r="E170" s="2">
        <v>132874.31</v>
      </c>
      <c r="F170" t="s">
        <v>4</v>
      </c>
      <c r="G170" t="s">
        <v>0</v>
      </c>
      <c r="H170" t="s">
        <v>7</v>
      </c>
      <c r="I170" t="s">
        <v>0</v>
      </c>
      <c r="J170" t="s">
        <v>56</v>
      </c>
      <c r="K170" t="s">
        <v>6</v>
      </c>
      <c r="L170" t="s">
        <v>2</v>
      </c>
      <c r="M170" t="s">
        <v>56</v>
      </c>
    </row>
    <row r="171" spans="1:13" ht="14.1" customHeight="1" x14ac:dyDescent="0.2">
      <c r="A171" s="5" t="s">
        <v>83</v>
      </c>
      <c r="B171" t="s">
        <v>1</v>
      </c>
      <c r="C171" t="s">
        <v>2</v>
      </c>
      <c r="D171" t="s">
        <v>3</v>
      </c>
      <c r="E171" s="2">
        <v>5680.05</v>
      </c>
      <c r="F171" t="s">
        <v>4</v>
      </c>
      <c r="G171" t="s">
        <v>0</v>
      </c>
      <c r="H171" t="s">
        <v>7</v>
      </c>
      <c r="I171" t="s">
        <v>0</v>
      </c>
      <c r="J171" t="s">
        <v>57</v>
      </c>
      <c r="K171" t="s">
        <v>6</v>
      </c>
      <c r="L171" t="s">
        <v>2</v>
      </c>
      <c r="M171" t="s">
        <v>57</v>
      </c>
    </row>
    <row r="172" spans="1:13" ht="14.1" customHeight="1" x14ac:dyDescent="0.2">
      <c r="A172" s="5" t="s">
        <v>83</v>
      </c>
      <c r="B172" t="s">
        <v>1</v>
      </c>
      <c r="C172" t="s">
        <v>2</v>
      </c>
      <c r="D172" t="s">
        <v>3</v>
      </c>
      <c r="E172" s="2">
        <v>88903.65</v>
      </c>
      <c r="F172" t="s">
        <v>4</v>
      </c>
      <c r="G172" t="s">
        <v>0</v>
      </c>
      <c r="H172" t="s">
        <v>7</v>
      </c>
      <c r="I172" t="s">
        <v>0</v>
      </c>
      <c r="J172" t="s">
        <v>57</v>
      </c>
      <c r="K172" t="s">
        <v>6</v>
      </c>
      <c r="L172" t="s">
        <v>2</v>
      </c>
      <c r="M172" t="s">
        <v>57</v>
      </c>
    </row>
    <row r="173" spans="1:13" ht="14.1" customHeight="1" x14ac:dyDescent="0.2">
      <c r="A173" s="5" t="s">
        <v>83</v>
      </c>
      <c r="B173" t="s">
        <v>1</v>
      </c>
      <c r="C173" t="s">
        <v>2</v>
      </c>
      <c r="D173" t="s">
        <v>3</v>
      </c>
      <c r="E173" s="2">
        <v>24136.86</v>
      </c>
      <c r="F173" t="s">
        <v>4</v>
      </c>
      <c r="G173" t="s">
        <v>0</v>
      </c>
      <c r="H173" t="s">
        <v>7</v>
      </c>
      <c r="I173" t="s">
        <v>0</v>
      </c>
      <c r="J173" t="s">
        <v>57</v>
      </c>
      <c r="K173" t="s">
        <v>6</v>
      </c>
      <c r="L173" t="s">
        <v>2</v>
      </c>
      <c r="M173" t="s">
        <v>57</v>
      </c>
    </row>
    <row r="174" spans="1:13" ht="14.1" customHeight="1" x14ac:dyDescent="0.2">
      <c r="A174" s="5" t="s">
        <v>83</v>
      </c>
      <c r="B174" t="s">
        <v>1</v>
      </c>
      <c r="C174" t="s">
        <v>2</v>
      </c>
      <c r="D174" t="s">
        <v>3</v>
      </c>
      <c r="E174" s="2">
        <v>290252.48</v>
      </c>
      <c r="F174" t="s">
        <v>4</v>
      </c>
      <c r="G174" t="s">
        <v>0</v>
      </c>
      <c r="H174" t="s">
        <v>7</v>
      </c>
      <c r="I174" t="s">
        <v>0</v>
      </c>
      <c r="J174" t="s">
        <v>57</v>
      </c>
      <c r="K174" t="s">
        <v>6</v>
      </c>
      <c r="L174" t="s">
        <v>2</v>
      </c>
      <c r="M174" t="s">
        <v>57</v>
      </c>
    </row>
    <row r="175" spans="1:13" ht="14.1" customHeight="1" x14ac:dyDescent="0.2">
      <c r="A175" s="5" t="s">
        <v>83</v>
      </c>
      <c r="B175" t="s">
        <v>1</v>
      </c>
      <c r="C175" t="s">
        <v>2</v>
      </c>
      <c r="D175" t="s">
        <v>3</v>
      </c>
      <c r="E175" s="2">
        <v>2665.04</v>
      </c>
      <c r="F175" t="s">
        <v>4</v>
      </c>
      <c r="G175" t="s">
        <v>0</v>
      </c>
      <c r="H175" t="s">
        <v>7</v>
      </c>
      <c r="I175" t="s">
        <v>0</v>
      </c>
      <c r="J175" t="s">
        <v>57</v>
      </c>
      <c r="K175" t="s">
        <v>6</v>
      </c>
      <c r="L175" t="s">
        <v>2</v>
      </c>
      <c r="M175" t="s">
        <v>57</v>
      </c>
    </row>
    <row r="176" spans="1:13" ht="14.1" customHeight="1" x14ac:dyDescent="0.2">
      <c r="A176" s="5" t="s">
        <v>83</v>
      </c>
      <c r="B176" t="s">
        <v>1</v>
      </c>
      <c r="C176" t="s">
        <v>2</v>
      </c>
      <c r="D176" t="s">
        <v>3</v>
      </c>
      <c r="E176" s="2">
        <v>2196.81</v>
      </c>
      <c r="F176" t="s">
        <v>4</v>
      </c>
      <c r="G176" t="s">
        <v>0</v>
      </c>
      <c r="H176" t="s">
        <v>5</v>
      </c>
      <c r="I176" t="s">
        <v>0</v>
      </c>
      <c r="J176" t="s">
        <v>56</v>
      </c>
      <c r="K176" t="s">
        <v>6</v>
      </c>
      <c r="L176" t="s">
        <v>2</v>
      </c>
      <c r="M176" t="s">
        <v>56</v>
      </c>
    </row>
    <row r="177" spans="1:13" ht="14.1" customHeight="1" x14ac:dyDescent="0.2">
      <c r="A177" s="5" t="s">
        <v>83</v>
      </c>
      <c r="B177" t="s">
        <v>1</v>
      </c>
      <c r="C177" t="s">
        <v>2</v>
      </c>
      <c r="D177" t="s">
        <v>3</v>
      </c>
      <c r="E177" s="2">
        <v>69011.09</v>
      </c>
      <c r="F177" t="s">
        <v>4</v>
      </c>
      <c r="G177" t="s">
        <v>0</v>
      </c>
      <c r="H177" t="s">
        <v>5</v>
      </c>
      <c r="I177" t="s">
        <v>0</v>
      </c>
      <c r="J177" t="s">
        <v>56</v>
      </c>
      <c r="K177" t="s">
        <v>6</v>
      </c>
      <c r="L177" t="s">
        <v>2</v>
      </c>
      <c r="M177" t="s">
        <v>56</v>
      </c>
    </row>
    <row r="178" spans="1:13" ht="14.1" customHeight="1" x14ac:dyDescent="0.2">
      <c r="A178" s="5" t="s">
        <v>83</v>
      </c>
      <c r="B178" t="s">
        <v>1</v>
      </c>
      <c r="C178" t="s">
        <v>2</v>
      </c>
      <c r="D178" t="s">
        <v>3</v>
      </c>
      <c r="E178" s="2">
        <v>28092.62</v>
      </c>
      <c r="F178" t="s">
        <v>4</v>
      </c>
      <c r="G178" t="s">
        <v>0</v>
      </c>
      <c r="H178" t="s">
        <v>5</v>
      </c>
      <c r="I178" t="s">
        <v>0</v>
      </c>
      <c r="J178" t="s">
        <v>56</v>
      </c>
      <c r="K178" t="s">
        <v>6</v>
      </c>
      <c r="L178" t="s">
        <v>2</v>
      </c>
      <c r="M178" t="s">
        <v>56</v>
      </c>
    </row>
    <row r="179" spans="1:13" ht="14.1" customHeight="1" x14ac:dyDescent="0.2">
      <c r="A179" s="5" t="s">
        <v>83</v>
      </c>
      <c r="B179" t="s">
        <v>1</v>
      </c>
      <c r="C179" t="s">
        <v>2</v>
      </c>
      <c r="D179" t="s">
        <v>3</v>
      </c>
      <c r="E179" s="2">
        <v>20547.990000000002</v>
      </c>
      <c r="F179" t="s">
        <v>4</v>
      </c>
      <c r="G179" t="s">
        <v>0</v>
      </c>
      <c r="H179" t="s">
        <v>5</v>
      </c>
      <c r="I179" t="s">
        <v>0</v>
      </c>
      <c r="J179" t="s">
        <v>56</v>
      </c>
      <c r="K179" t="s">
        <v>6</v>
      </c>
      <c r="L179" t="s">
        <v>2</v>
      </c>
      <c r="M179" t="s">
        <v>56</v>
      </c>
    </row>
    <row r="180" spans="1:13" ht="14.1" customHeight="1" x14ac:dyDescent="0.2">
      <c r="A180" s="5" t="s">
        <v>83</v>
      </c>
      <c r="B180" t="s">
        <v>1</v>
      </c>
      <c r="C180" t="s">
        <v>2</v>
      </c>
      <c r="D180" t="s">
        <v>3</v>
      </c>
      <c r="E180" s="2">
        <v>7322.74</v>
      </c>
      <c r="F180" t="s">
        <v>4</v>
      </c>
      <c r="G180" t="s">
        <v>0</v>
      </c>
      <c r="H180" t="s">
        <v>5</v>
      </c>
      <c r="I180" t="s">
        <v>0</v>
      </c>
      <c r="J180" t="s">
        <v>56</v>
      </c>
      <c r="K180" t="s">
        <v>6</v>
      </c>
      <c r="L180" t="s">
        <v>2</v>
      </c>
      <c r="M180" t="s">
        <v>56</v>
      </c>
    </row>
    <row r="181" spans="1:13" ht="14.1" customHeight="1" x14ac:dyDescent="0.2">
      <c r="A181" s="5" t="s">
        <v>83</v>
      </c>
      <c r="B181" t="s">
        <v>1</v>
      </c>
      <c r="C181" t="s">
        <v>2</v>
      </c>
      <c r="D181" t="s">
        <v>3</v>
      </c>
      <c r="E181" s="2">
        <v>6013.5</v>
      </c>
      <c r="F181" t="s">
        <v>4</v>
      </c>
      <c r="G181" t="s">
        <v>0</v>
      </c>
      <c r="H181" t="s">
        <v>5</v>
      </c>
      <c r="I181" t="s">
        <v>0</v>
      </c>
      <c r="J181" t="s">
        <v>56</v>
      </c>
      <c r="K181" t="s">
        <v>6</v>
      </c>
      <c r="L181" t="s">
        <v>2</v>
      </c>
      <c r="M181" t="s">
        <v>56</v>
      </c>
    </row>
    <row r="182" spans="1:13" ht="14.1" customHeight="1" x14ac:dyDescent="0.2">
      <c r="A182" s="5" t="s">
        <v>83</v>
      </c>
      <c r="B182" t="s">
        <v>1</v>
      </c>
      <c r="C182" t="s">
        <v>2</v>
      </c>
      <c r="D182" t="s">
        <v>3</v>
      </c>
      <c r="E182" s="2">
        <v>2358.94</v>
      </c>
      <c r="F182" t="s">
        <v>4</v>
      </c>
      <c r="G182" t="s">
        <v>0</v>
      </c>
      <c r="H182" t="s">
        <v>5</v>
      </c>
      <c r="I182" t="s">
        <v>0</v>
      </c>
      <c r="J182" t="s">
        <v>56</v>
      </c>
      <c r="K182" t="s">
        <v>6</v>
      </c>
      <c r="L182" t="s">
        <v>2</v>
      </c>
      <c r="M182" t="s">
        <v>56</v>
      </c>
    </row>
    <row r="183" spans="1:13" ht="14.1" customHeight="1" x14ac:dyDescent="0.2">
      <c r="A183" s="5" t="s">
        <v>83</v>
      </c>
      <c r="B183" t="s">
        <v>1</v>
      </c>
      <c r="C183" t="s">
        <v>2</v>
      </c>
      <c r="D183" t="s">
        <v>3</v>
      </c>
      <c r="E183" s="2">
        <v>1544.34</v>
      </c>
      <c r="F183" t="s">
        <v>4</v>
      </c>
      <c r="G183" t="s">
        <v>0</v>
      </c>
      <c r="H183" t="s">
        <v>5</v>
      </c>
      <c r="I183" t="s">
        <v>0</v>
      </c>
      <c r="J183" t="s">
        <v>56</v>
      </c>
      <c r="K183" t="s">
        <v>6</v>
      </c>
      <c r="L183" t="s">
        <v>2</v>
      </c>
      <c r="M183" t="s">
        <v>56</v>
      </c>
    </row>
    <row r="184" spans="1:13" ht="14.1" customHeight="1" x14ac:dyDescent="0.2">
      <c r="A184" s="5" t="s">
        <v>83</v>
      </c>
      <c r="B184" t="s">
        <v>1</v>
      </c>
      <c r="C184" t="s">
        <v>2</v>
      </c>
      <c r="D184" t="s">
        <v>3</v>
      </c>
      <c r="E184" s="2">
        <v>1405.74</v>
      </c>
      <c r="F184" t="s">
        <v>4</v>
      </c>
      <c r="G184" t="s">
        <v>0</v>
      </c>
      <c r="H184" t="s">
        <v>5</v>
      </c>
      <c r="I184" t="s">
        <v>0</v>
      </c>
      <c r="J184" t="s">
        <v>56</v>
      </c>
      <c r="K184" t="s">
        <v>6</v>
      </c>
      <c r="L184" t="s">
        <v>2</v>
      </c>
      <c r="M184" t="s">
        <v>56</v>
      </c>
    </row>
    <row r="185" spans="1:13" ht="14.1" customHeight="1" x14ac:dyDescent="0.2">
      <c r="A185" s="5" t="s">
        <v>83</v>
      </c>
      <c r="B185" t="s">
        <v>1</v>
      </c>
      <c r="C185" t="s">
        <v>2</v>
      </c>
      <c r="D185" t="s">
        <v>3</v>
      </c>
      <c r="E185" s="2">
        <v>1122.9000000000001</v>
      </c>
      <c r="F185" t="s">
        <v>4</v>
      </c>
      <c r="G185" t="s">
        <v>0</v>
      </c>
      <c r="H185" t="s">
        <v>5</v>
      </c>
      <c r="I185" t="s">
        <v>0</v>
      </c>
      <c r="J185" t="s">
        <v>56</v>
      </c>
      <c r="K185" t="s">
        <v>6</v>
      </c>
      <c r="L185" t="s">
        <v>2</v>
      </c>
      <c r="M185" t="s">
        <v>56</v>
      </c>
    </row>
    <row r="186" spans="1:13" ht="14.1" customHeight="1" x14ac:dyDescent="0.2">
      <c r="A186" s="5" t="s">
        <v>83</v>
      </c>
      <c r="B186" t="s">
        <v>1</v>
      </c>
      <c r="C186" t="s">
        <v>2</v>
      </c>
      <c r="D186" t="s">
        <v>3</v>
      </c>
      <c r="E186" s="2">
        <v>2520.16</v>
      </c>
      <c r="F186" t="s">
        <v>4</v>
      </c>
      <c r="G186" t="s">
        <v>0</v>
      </c>
      <c r="H186" t="s">
        <v>5</v>
      </c>
      <c r="I186" t="s">
        <v>0</v>
      </c>
      <c r="J186" t="s">
        <v>56</v>
      </c>
      <c r="K186" t="s">
        <v>6</v>
      </c>
      <c r="L186" t="s">
        <v>2</v>
      </c>
      <c r="M186" t="s">
        <v>56</v>
      </c>
    </row>
    <row r="187" spans="1:13" ht="14.1" customHeight="1" x14ac:dyDescent="0.2">
      <c r="A187" s="5" t="s">
        <v>83</v>
      </c>
      <c r="B187" t="s">
        <v>1</v>
      </c>
      <c r="C187" t="s">
        <v>2</v>
      </c>
      <c r="D187" t="s">
        <v>3</v>
      </c>
      <c r="E187" s="2">
        <v>2200.5500000000002</v>
      </c>
      <c r="F187" t="s">
        <v>4</v>
      </c>
      <c r="G187" t="s">
        <v>0</v>
      </c>
      <c r="H187" t="s">
        <v>5</v>
      </c>
      <c r="I187" t="s">
        <v>0</v>
      </c>
      <c r="J187" t="s">
        <v>56</v>
      </c>
      <c r="K187" t="s">
        <v>6</v>
      </c>
      <c r="L187" t="s">
        <v>2</v>
      </c>
      <c r="M187" t="s">
        <v>56</v>
      </c>
    </row>
    <row r="188" spans="1:13" ht="14.1" customHeight="1" x14ac:dyDescent="0.2">
      <c r="A188" s="5" t="s">
        <v>83</v>
      </c>
      <c r="B188" t="s">
        <v>1</v>
      </c>
      <c r="C188" t="s">
        <v>2</v>
      </c>
      <c r="D188" t="s">
        <v>3</v>
      </c>
      <c r="E188" s="2">
        <v>1233.22</v>
      </c>
      <c r="F188" t="s">
        <v>4</v>
      </c>
      <c r="G188" t="s">
        <v>0</v>
      </c>
      <c r="H188" t="s">
        <v>5</v>
      </c>
      <c r="I188" t="s">
        <v>0</v>
      </c>
      <c r="J188" t="s">
        <v>56</v>
      </c>
      <c r="K188" t="s">
        <v>6</v>
      </c>
      <c r="L188" t="s">
        <v>2</v>
      </c>
      <c r="M188" t="s">
        <v>56</v>
      </c>
    </row>
    <row r="189" spans="1:13" ht="14.1" customHeight="1" x14ac:dyDescent="0.2">
      <c r="A189" s="5" t="s">
        <v>83</v>
      </c>
      <c r="B189" t="s">
        <v>1</v>
      </c>
      <c r="C189" t="s">
        <v>2</v>
      </c>
      <c r="D189" t="s">
        <v>3</v>
      </c>
      <c r="E189" s="2">
        <v>845917.81</v>
      </c>
      <c r="F189" t="s">
        <v>4</v>
      </c>
      <c r="G189" t="s">
        <v>0</v>
      </c>
      <c r="H189" t="s">
        <v>5</v>
      </c>
      <c r="I189" t="s">
        <v>0</v>
      </c>
      <c r="J189" t="s">
        <v>57</v>
      </c>
      <c r="K189" t="s">
        <v>6</v>
      </c>
      <c r="L189" t="s">
        <v>2</v>
      </c>
      <c r="M189" t="s">
        <v>57</v>
      </c>
    </row>
    <row r="190" spans="1:13" ht="14.1" customHeight="1" x14ac:dyDescent="0.2">
      <c r="A190" s="5" t="s">
        <v>83</v>
      </c>
      <c r="B190" t="s">
        <v>1</v>
      </c>
      <c r="C190" t="s">
        <v>2</v>
      </c>
      <c r="D190" t="s">
        <v>3</v>
      </c>
      <c r="E190" s="2">
        <v>1769.4</v>
      </c>
      <c r="F190" t="s">
        <v>4</v>
      </c>
      <c r="G190" t="s">
        <v>0</v>
      </c>
      <c r="H190" t="s">
        <v>5</v>
      </c>
      <c r="I190" t="s">
        <v>0</v>
      </c>
      <c r="J190" t="s">
        <v>57</v>
      </c>
      <c r="K190" t="s">
        <v>6</v>
      </c>
      <c r="L190" t="s">
        <v>2</v>
      </c>
      <c r="M190" t="s">
        <v>57</v>
      </c>
    </row>
    <row r="191" spans="1:13" ht="14.1" customHeight="1" x14ac:dyDescent="0.2">
      <c r="A191" s="5" t="s">
        <v>83</v>
      </c>
      <c r="B191" t="s">
        <v>1</v>
      </c>
      <c r="C191" t="s">
        <v>2</v>
      </c>
      <c r="D191" t="s">
        <v>3</v>
      </c>
      <c r="E191" s="2">
        <v>879.53</v>
      </c>
      <c r="F191" t="s">
        <v>4</v>
      </c>
      <c r="G191" t="s">
        <v>0</v>
      </c>
      <c r="H191" t="s">
        <v>5</v>
      </c>
      <c r="I191" t="s">
        <v>0</v>
      </c>
      <c r="J191" t="s">
        <v>56</v>
      </c>
      <c r="K191" t="s">
        <v>6</v>
      </c>
      <c r="L191" t="s">
        <v>2</v>
      </c>
      <c r="M191" t="s">
        <v>56</v>
      </c>
    </row>
    <row r="192" spans="1:13" ht="14.1" customHeight="1" x14ac:dyDescent="0.2">
      <c r="A192" s="5" t="s">
        <v>83</v>
      </c>
      <c r="B192" t="s">
        <v>1</v>
      </c>
      <c r="C192" t="s">
        <v>2</v>
      </c>
      <c r="D192" t="s">
        <v>3</v>
      </c>
      <c r="E192" s="2">
        <v>1759.07</v>
      </c>
      <c r="F192" t="s">
        <v>4</v>
      </c>
      <c r="G192" t="s">
        <v>0</v>
      </c>
      <c r="H192" t="s">
        <v>5</v>
      </c>
      <c r="I192" t="s">
        <v>0</v>
      </c>
      <c r="J192" t="s">
        <v>56</v>
      </c>
      <c r="K192" t="s">
        <v>6</v>
      </c>
      <c r="L192" t="s">
        <v>2</v>
      </c>
      <c r="M192" t="s">
        <v>56</v>
      </c>
    </row>
    <row r="193" spans="1:13" ht="14.1" customHeight="1" x14ac:dyDescent="0.2">
      <c r="A193" s="5" t="s">
        <v>83</v>
      </c>
      <c r="B193" t="s">
        <v>1</v>
      </c>
      <c r="C193" t="s">
        <v>2</v>
      </c>
      <c r="D193" t="s">
        <v>3</v>
      </c>
      <c r="E193" s="2">
        <v>94003.6</v>
      </c>
      <c r="F193" t="s">
        <v>4</v>
      </c>
      <c r="G193" t="s">
        <v>0</v>
      </c>
      <c r="H193" t="s">
        <v>5</v>
      </c>
      <c r="I193" t="s">
        <v>0</v>
      </c>
      <c r="J193" t="s">
        <v>56</v>
      </c>
      <c r="K193" t="s">
        <v>6</v>
      </c>
      <c r="L193" t="s">
        <v>2</v>
      </c>
      <c r="M193" t="s">
        <v>56</v>
      </c>
    </row>
    <row r="194" spans="1:13" ht="14.1" customHeight="1" x14ac:dyDescent="0.2">
      <c r="A194" s="5" t="s">
        <v>83</v>
      </c>
      <c r="B194" t="s">
        <v>1</v>
      </c>
      <c r="C194" t="s">
        <v>2</v>
      </c>
      <c r="D194" t="s">
        <v>3</v>
      </c>
      <c r="E194" s="2">
        <v>3623.27</v>
      </c>
      <c r="F194" t="s">
        <v>4</v>
      </c>
      <c r="G194" t="s">
        <v>0</v>
      </c>
      <c r="H194" t="s">
        <v>5</v>
      </c>
      <c r="I194" t="s">
        <v>0</v>
      </c>
      <c r="J194" t="s">
        <v>56</v>
      </c>
      <c r="K194" t="s">
        <v>6</v>
      </c>
      <c r="L194" t="s">
        <v>2</v>
      </c>
      <c r="M194" t="s">
        <v>56</v>
      </c>
    </row>
    <row r="195" spans="1:13" ht="14.1" customHeight="1" x14ac:dyDescent="0.2">
      <c r="A195" s="5" t="s">
        <v>83</v>
      </c>
      <c r="B195" t="s">
        <v>1</v>
      </c>
      <c r="C195" t="s">
        <v>2</v>
      </c>
      <c r="D195" t="s">
        <v>3</v>
      </c>
      <c r="E195" s="2">
        <v>1678.42</v>
      </c>
      <c r="F195" t="s">
        <v>4</v>
      </c>
      <c r="G195" t="s">
        <v>0</v>
      </c>
      <c r="H195" t="s">
        <v>5</v>
      </c>
      <c r="I195" t="s">
        <v>0</v>
      </c>
      <c r="J195" t="s">
        <v>56</v>
      </c>
      <c r="K195" t="s">
        <v>6</v>
      </c>
      <c r="L195" t="s">
        <v>2</v>
      </c>
      <c r="M195" t="s">
        <v>56</v>
      </c>
    </row>
    <row r="196" spans="1:13" ht="14.1" customHeight="1" x14ac:dyDescent="0.2">
      <c r="A196" s="5" t="s">
        <v>83</v>
      </c>
      <c r="B196" t="s">
        <v>1</v>
      </c>
      <c r="C196" t="s">
        <v>2</v>
      </c>
      <c r="D196" t="s">
        <v>3</v>
      </c>
      <c r="E196" s="2">
        <v>19974</v>
      </c>
      <c r="F196" t="s">
        <v>4</v>
      </c>
      <c r="G196" t="s">
        <v>0</v>
      </c>
      <c r="H196" t="s">
        <v>5</v>
      </c>
      <c r="I196" t="s">
        <v>0</v>
      </c>
      <c r="J196" t="s">
        <v>56</v>
      </c>
      <c r="K196" t="s">
        <v>6</v>
      </c>
      <c r="L196" t="s">
        <v>2</v>
      </c>
      <c r="M196" t="s">
        <v>56</v>
      </c>
    </row>
    <row r="197" spans="1:13" ht="14.1" customHeight="1" x14ac:dyDescent="0.2">
      <c r="A197" s="5" t="s">
        <v>83</v>
      </c>
      <c r="B197" t="s">
        <v>1</v>
      </c>
      <c r="C197" t="s">
        <v>2</v>
      </c>
      <c r="D197" t="s">
        <v>3</v>
      </c>
      <c r="E197" s="2">
        <v>12484.93</v>
      </c>
      <c r="F197" t="s">
        <v>4</v>
      </c>
      <c r="G197" t="s">
        <v>0</v>
      </c>
      <c r="H197" t="s">
        <v>5</v>
      </c>
      <c r="I197" t="s">
        <v>0</v>
      </c>
      <c r="J197" t="s">
        <v>57</v>
      </c>
      <c r="K197" t="s">
        <v>6</v>
      </c>
      <c r="L197" t="s">
        <v>2</v>
      </c>
      <c r="M197" t="s">
        <v>57</v>
      </c>
    </row>
    <row r="198" spans="1:13" ht="14.1" customHeight="1" x14ac:dyDescent="0.2">
      <c r="A198" s="5" t="s">
        <v>83</v>
      </c>
      <c r="B198" t="s">
        <v>1</v>
      </c>
      <c r="C198" t="s">
        <v>2</v>
      </c>
      <c r="D198" t="s">
        <v>3</v>
      </c>
      <c r="E198" s="2">
        <v>3592.61</v>
      </c>
      <c r="F198" t="s">
        <v>4</v>
      </c>
      <c r="G198" t="s">
        <v>0</v>
      </c>
      <c r="H198" t="s">
        <v>5</v>
      </c>
      <c r="I198" t="s">
        <v>0</v>
      </c>
      <c r="J198" t="s">
        <v>56</v>
      </c>
      <c r="K198" t="s">
        <v>6</v>
      </c>
      <c r="L198" t="s">
        <v>2</v>
      </c>
      <c r="M198" t="s">
        <v>56</v>
      </c>
    </row>
    <row r="199" spans="1:13" ht="14.1" customHeight="1" x14ac:dyDescent="0.2">
      <c r="A199" s="5" t="s">
        <v>83</v>
      </c>
      <c r="B199" t="s">
        <v>1</v>
      </c>
      <c r="C199" t="s">
        <v>2</v>
      </c>
      <c r="D199" t="s">
        <v>3</v>
      </c>
      <c r="E199" s="2">
        <v>1691.83</v>
      </c>
      <c r="F199" t="s">
        <v>4</v>
      </c>
      <c r="G199" t="s">
        <v>0</v>
      </c>
      <c r="H199" t="s">
        <v>5</v>
      </c>
      <c r="I199" t="s">
        <v>0</v>
      </c>
      <c r="J199" t="s">
        <v>56</v>
      </c>
      <c r="K199" t="s">
        <v>6</v>
      </c>
      <c r="L199" t="s">
        <v>2</v>
      </c>
      <c r="M199" t="s">
        <v>56</v>
      </c>
    </row>
    <row r="200" spans="1:13" ht="14.1" customHeight="1" x14ac:dyDescent="0.2">
      <c r="A200" s="5" t="s">
        <v>83</v>
      </c>
      <c r="B200" t="s">
        <v>1</v>
      </c>
      <c r="C200" t="s">
        <v>2</v>
      </c>
      <c r="D200" t="s">
        <v>3</v>
      </c>
      <c r="E200" s="2">
        <v>29093.79</v>
      </c>
      <c r="F200" t="s">
        <v>4</v>
      </c>
      <c r="G200" t="s">
        <v>0</v>
      </c>
      <c r="H200" t="s">
        <v>5</v>
      </c>
      <c r="I200" t="s">
        <v>0</v>
      </c>
      <c r="J200" t="s">
        <v>56</v>
      </c>
      <c r="K200" t="s">
        <v>6</v>
      </c>
      <c r="L200" t="s">
        <v>2</v>
      </c>
      <c r="M200" t="s">
        <v>56</v>
      </c>
    </row>
    <row r="201" spans="1:13" ht="14.1" customHeight="1" x14ac:dyDescent="0.2">
      <c r="A201" s="5" t="s">
        <v>83</v>
      </c>
      <c r="B201" t="s">
        <v>1</v>
      </c>
      <c r="C201" t="s">
        <v>2</v>
      </c>
      <c r="D201" t="s">
        <v>3</v>
      </c>
      <c r="E201" s="2">
        <v>124754.19</v>
      </c>
      <c r="F201" t="s">
        <v>4</v>
      </c>
      <c r="G201" t="s">
        <v>0</v>
      </c>
      <c r="H201" t="s">
        <v>5</v>
      </c>
      <c r="I201" t="s">
        <v>0</v>
      </c>
      <c r="J201" t="s">
        <v>56</v>
      </c>
      <c r="K201" t="s">
        <v>6</v>
      </c>
      <c r="L201" t="s">
        <v>2</v>
      </c>
      <c r="M201" t="s">
        <v>56</v>
      </c>
    </row>
    <row r="202" spans="1:13" ht="14.1" customHeight="1" x14ac:dyDescent="0.2">
      <c r="A202" s="5" t="s">
        <v>83</v>
      </c>
      <c r="B202" t="s">
        <v>1</v>
      </c>
      <c r="C202" t="s">
        <v>2</v>
      </c>
      <c r="D202" t="s">
        <v>3</v>
      </c>
      <c r="E202" s="2">
        <v>16825.98</v>
      </c>
      <c r="F202" t="s">
        <v>4</v>
      </c>
      <c r="G202" t="s">
        <v>0</v>
      </c>
      <c r="H202" t="s">
        <v>5</v>
      </c>
      <c r="I202" t="s">
        <v>0</v>
      </c>
      <c r="J202" t="s">
        <v>56</v>
      </c>
      <c r="K202" t="s">
        <v>6</v>
      </c>
      <c r="L202" t="s">
        <v>2</v>
      </c>
      <c r="M202" t="s">
        <v>56</v>
      </c>
    </row>
    <row r="203" spans="1:13" ht="14.1" customHeight="1" x14ac:dyDescent="0.2">
      <c r="A203" s="5" t="s">
        <v>83</v>
      </c>
      <c r="B203" t="s">
        <v>1</v>
      </c>
      <c r="C203" t="s">
        <v>2</v>
      </c>
      <c r="D203" t="s">
        <v>3</v>
      </c>
      <c r="E203" s="2">
        <v>205056.79</v>
      </c>
      <c r="F203" t="s">
        <v>4</v>
      </c>
      <c r="G203" t="s">
        <v>0</v>
      </c>
      <c r="H203" t="s">
        <v>5</v>
      </c>
      <c r="I203" t="s">
        <v>0</v>
      </c>
      <c r="J203" t="s">
        <v>56</v>
      </c>
      <c r="K203" t="s">
        <v>6</v>
      </c>
      <c r="L203" t="s">
        <v>2</v>
      </c>
      <c r="M203" t="s">
        <v>56</v>
      </c>
    </row>
    <row r="204" spans="1:13" ht="14.1" customHeight="1" x14ac:dyDescent="0.2">
      <c r="A204" s="5" t="s">
        <v>83</v>
      </c>
      <c r="B204" t="s">
        <v>1</v>
      </c>
      <c r="C204" t="s">
        <v>2</v>
      </c>
      <c r="D204" t="s">
        <v>3</v>
      </c>
      <c r="E204" s="2">
        <v>25464.61</v>
      </c>
      <c r="F204" t="s">
        <v>4</v>
      </c>
      <c r="G204" t="s">
        <v>0</v>
      </c>
      <c r="H204" t="s">
        <v>5</v>
      </c>
      <c r="I204" t="s">
        <v>0</v>
      </c>
      <c r="J204" t="s">
        <v>56</v>
      </c>
      <c r="K204" t="s">
        <v>6</v>
      </c>
      <c r="L204" t="s">
        <v>2</v>
      </c>
      <c r="M204" t="s">
        <v>56</v>
      </c>
    </row>
    <row r="205" spans="1:13" ht="14.1" customHeight="1" x14ac:dyDescent="0.2">
      <c r="A205" s="5" t="s">
        <v>83</v>
      </c>
      <c r="B205" t="s">
        <v>1</v>
      </c>
      <c r="C205" t="s">
        <v>2</v>
      </c>
      <c r="D205" t="s">
        <v>3</v>
      </c>
      <c r="E205" s="2">
        <v>70217.039999999994</v>
      </c>
      <c r="F205" t="s">
        <v>4</v>
      </c>
      <c r="G205" t="s">
        <v>0</v>
      </c>
      <c r="H205" t="s">
        <v>5</v>
      </c>
      <c r="I205" t="s">
        <v>0</v>
      </c>
      <c r="J205" t="s">
        <v>56</v>
      </c>
      <c r="K205" t="s">
        <v>6</v>
      </c>
      <c r="L205" t="s">
        <v>2</v>
      </c>
      <c r="M205" t="s">
        <v>56</v>
      </c>
    </row>
    <row r="206" spans="1:13" ht="14.1" customHeight="1" x14ac:dyDescent="0.2">
      <c r="A206" s="5" t="s">
        <v>83</v>
      </c>
      <c r="B206" t="s">
        <v>1</v>
      </c>
      <c r="C206" t="s">
        <v>2</v>
      </c>
      <c r="D206" t="s">
        <v>3</v>
      </c>
      <c r="E206" s="2">
        <v>3463065.2</v>
      </c>
      <c r="F206" t="s">
        <v>4</v>
      </c>
      <c r="G206" t="s">
        <v>0</v>
      </c>
      <c r="H206" t="s">
        <v>5</v>
      </c>
      <c r="I206" t="s">
        <v>0</v>
      </c>
      <c r="J206" t="s">
        <v>56</v>
      </c>
      <c r="K206" t="s">
        <v>6</v>
      </c>
      <c r="L206" t="s">
        <v>2</v>
      </c>
      <c r="M206" t="s">
        <v>56</v>
      </c>
    </row>
    <row r="207" spans="1:13" ht="14.1" customHeight="1" x14ac:dyDescent="0.2">
      <c r="A207" s="5" t="s">
        <v>83</v>
      </c>
      <c r="B207" t="s">
        <v>1</v>
      </c>
      <c r="C207" t="s">
        <v>2</v>
      </c>
      <c r="D207" t="s">
        <v>3</v>
      </c>
      <c r="E207" s="2">
        <v>3173764.71</v>
      </c>
      <c r="F207" t="s">
        <v>4</v>
      </c>
      <c r="G207" t="s">
        <v>0</v>
      </c>
      <c r="H207" t="s">
        <v>5</v>
      </c>
      <c r="I207" t="s">
        <v>0</v>
      </c>
      <c r="J207" t="s">
        <v>56</v>
      </c>
      <c r="K207" t="s">
        <v>6</v>
      </c>
      <c r="L207" t="s">
        <v>2</v>
      </c>
      <c r="M207" t="s">
        <v>56</v>
      </c>
    </row>
    <row r="208" spans="1:13" ht="14.1" customHeight="1" x14ac:dyDescent="0.2">
      <c r="A208" s="5" t="s">
        <v>83</v>
      </c>
      <c r="B208" t="s">
        <v>1</v>
      </c>
      <c r="C208" t="s">
        <v>2</v>
      </c>
      <c r="D208" t="s">
        <v>3</v>
      </c>
      <c r="E208" s="2">
        <v>58828.57</v>
      </c>
      <c r="F208" t="s">
        <v>4</v>
      </c>
      <c r="G208" t="s">
        <v>0</v>
      </c>
      <c r="H208" t="s">
        <v>5</v>
      </c>
      <c r="I208" t="s">
        <v>0</v>
      </c>
      <c r="J208" t="s">
        <v>56</v>
      </c>
      <c r="K208" t="s">
        <v>6</v>
      </c>
      <c r="L208" t="s">
        <v>2</v>
      </c>
      <c r="M208" t="s">
        <v>56</v>
      </c>
    </row>
    <row r="209" spans="1:13" ht="14.1" customHeight="1" x14ac:dyDescent="0.2">
      <c r="A209" s="5" t="s">
        <v>83</v>
      </c>
      <c r="B209" t="s">
        <v>1</v>
      </c>
      <c r="C209" t="s">
        <v>2</v>
      </c>
      <c r="D209" t="s">
        <v>3</v>
      </c>
      <c r="E209" s="2">
        <v>157108</v>
      </c>
      <c r="F209" t="s">
        <v>4</v>
      </c>
      <c r="G209" t="s">
        <v>0</v>
      </c>
      <c r="H209" t="s">
        <v>5</v>
      </c>
      <c r="I209" t="s">
        <v>0</v>
      </c>
      <c r="J209" t="s">
        <v>56</v>
      </c>
      <c r="K209" t="s">
        <v>6</v>
      </c>
      <c r="L209" t="s">
        <v>2</v>
      </c>
      <c r="M209" t="s">
        <v>56</v>
      </c>
    </row>
    <row r="210" spans="1:13" ht="14.1" customHeight="1" x14ac:dyDescent="0.2">
      <c r="A210" s="5" t="s">
        <v>83</v>
      </c>
      <c r="B210" t="s">
        <v>1</v>
      </c>
      <c r="C210" t="s">
        <v>2</v>
      </c>
      <c r="D210" t="s">
        <v>3</v>
      </c>
      <c r="E210" s="2">
        <v>15145.97</v>
      </c>
      <c r="F210" t="s">
        <v>4</v>
      </c>
      <c r="G210" t="s">
        <v>0</v>
      </c>
      <c r="H210" t="s">
        <v>5</v>
      </c>
      <c r="I210" t="s">
        <v>0</v>
      </c>
      <c r="J210" t="s">
        <v>56</v>
      </c>
      <c r="K210" t="s">
        <v>6</v>
      </c>
      <c r="L210" t="s">
        <v>2</v>
      </c>
      <c r="M210" t="s">
        <v>56</v>
      </c>
    </row>
    <row r="211" spans="1:13" ht="14.1" customHeight="1" x14ac:dyDescent="0.2">
      <c r="A211" s="5" t="s">
        <v>83</v>
      </c>
      <c r="B211" t="s">
        <v>1</v>
      </c>
      <c r="C211" t="s">
        <v>2</v>
      </c>
      <c r="D211" t="s">
        <v>3</v>
      </c>
      <c r="E211" s="2">
        <v>11334.87</v>
      </c>
      <c r="F211" t="s">
        <v>4</v>
      </c>
      <c r="G211" t="s">
        <v>0</v>
      </c>
      <c r="H211" t="s">
        <v>5</v>
      </c>
      <c r="I211" t="s">
        <v>0</v>
      </c>
      <c r="J211" t="s">
        <v>56</v>
      </c>
      <c r="K211" t="s">
        <v>6</v>
      </c>
      <c r="L211" t="s">
        <v>2</v>
      </c>
      <c r="M211" t="s">
        <v>56</v>
      </c>
    </row>
    <row r="212" spans="1:13" ht="14.1" customHeight="1" x14ac:dyDescent="0.2">
      <c r="A212" s="5" t="s">
        <v>83</v>
      </c>
      <c r="B212" t="s">
        <v>1</v>
      </c>
      <c r="C212" t="s">
        <v>2</v>
      </c>
      <c r="D212" t="s">
        <v>3</v>
      </c>
      <c r="E212" s="2">
        <v>26070.21</v>
      </c>
      <c r="F212" t="s">
        <v>4</v>
      </c>
      <c r="G212" t="s">
        <v>0</v>
      </c>
      <c r="H212" t="s">
        <v>5</v>
      </c>
      <c r="I212" t="s">
        <v>0</v>
      </c>
      <c r="J212" t="s">
        <v>56</v>
      </c>
      <c r="K212" t="s">
        <v>6</v>
      </c>
      <c r="L212" t="s">
        <v>2</v>
      </c>
      <c r="M212" t="s">
        <v>56</v>
      </c>
    </row>
    <row r="213" spans="1:13" ht="14.1" customHeight="1" x14ac:dyDescent="0.2">
      <c r="A213" s="5" t="s">
        <v>83</v>
      </c>
      <c r="B213" t="s">
        <v>1</v>
      </c>
      <c r="C213" t="s">
        <v>2</v>
      </c>
      <c r="D213" t="s">
        <v>3</v>
      </c>
      <c r="E213" s="2">
        <v>4034.99</v>
      </c>
      <c r="F213" t="s">
        <v>4</v>
      </c>
      <c r="G213" t="s">
        <v>0</v>
      </c>
      <c r="H213" t="s">
        <v>5</v>
      </c>
      <c r="I213" t="s">
        <v>0</v>
      </c>
      <c r="J213" t="s">
        <v>56</v>
      </c>
      <c r="K213" t="s">
        <v>6</v>
      </c>
      <c r="L213" t="s">
        <v>2</v>
      </c>
      <c r="M213" t="s">
        <v>56</v>
      </c>
    </row>
    <row r="214" spans="1:13" ht="14.1" customHeight="1" x14ac:dyDescent="0.2">
      <c r="A214" s="5" t="s">
        <v>83</v>
      </c>
      <c r="B214" t="s">
        <v>1</v>
      </c>
      <c r="C214" t="s">
        <v>2</v>
      </c>
      <c r="D214" t="s">
        <v>3</v>
      </c>
      <c r="E214" s="2">
        <v>2581.06</v>
      </c>
      <c r="F214" t="s">
        <v>4</v>
      </c>
      <c r="G214" t="s">
        <v>0</v>
      </c>
      <c r="H214" t="s">
        <v>5</v>
      </c>
      <c r="I214" t="s">
        <v>0</v>
      </c>
      <c r="J214" t="s">
        <v>56</v>
      </c>
      <c r="K214" t="s">
        <v>6</v>
      </c>
      <c r="L214" t="s">
        <v>2</v>
      </c>
      <c r="M214" t="s">
        <v>56</v>
      </c>
    </row>
    <row r="215" spans="1:13" ht="14.1" customHeight="1" x14ac:dyDescent="0.2">
      <c r="A215" s="5" t="s">
        <v>83</v>
      </c>
      <c r="B215" t="s">
        <v>1</v>
      </c>
      <c r="C215" t="s">
        <v>2</v>
      </c>
      <c r="D215" t="s">
        <v>3</v>
      </c>
      <c r="E215" s="2">
        <v>2868.8</v>
      </c>
      <c r="F215" t="s">
        <v>4</v>
      </c>
      <c r="G215" t="s">
        <v>0</v>
      </c>
      <c r="H215" t="s">
        <v>5</v>
      </c>
      <c r="I215" t="s">
        <v>0</v>
      </c>
      <c r="J215" t="s">
        <v>56</v>
      </c>
      <c r="K215" t="s">
        <v>6</v>
      </c>
      <c r="L215" t="s">
        <v>2</v>
      </c>
      <c r="M215" t="s">
        <v>56</v>
      </c>
    </row>
    <row r="216" spans="1:13" ht="14.1" customHeight="1" x14ac:dyDescent="0.2">
      <c r="A216" s="5" t="s">
        <v>83</v>
      </c>
      <c r="B216" t="s">
        <v>1</v>
      </c>
      <c r="C216" t="s">
        <v>2</v>
      </c>
      <c r="D216" t="s">
        <v>3</v>
      </c>
      <c r="E216" s="2">
        <v>4099.0600000000004</v>
      </c>
      <c r="F216" t="s">
        <v>4</v>
      </c>
      <c r="G216" t="s">
        <v>0</v>
      </c>
      <c r="H216" t="s">
        <v>5</v>
      </c>
      <c r="I216" t="s">
        <v>0</v>
      </c>
      <c r="J216" t="s">
        <v>56</v>
      </c>
      <c r="K216" t="s">
        <v>6</v>
      </c>
      <c r="L216" t="s">
        <v>2</v>
      </c>
      <c r="M216" t="s">
        <v>56</v>
      </c>
    </row>
    <row r="217" spans="1:13" ht="14.1" customHeight="1" x14ac:dyDescent="0.2">
      <c r="A217" s="5" t="s">
        <v>83</v>
      </c>
      <c r="B217" t="s">
        <v>1</v>
      </c>
      <c r="C217" t="s">
        <v>2</v>
      </c>
      <c r="D217" t="s">
        <v>3</v>
      </c>
      <c r="E217" s="2">
        <v>1754.35</v>
      </c>
      <c r="F217" t="s">
        <v>4</v>
      </c>
      <c r="G217" t="s">
        <v>0</v>
      </c>
      <c r="H217" t="s">
        <v>5</v>
      </c>
      <c r="I217" t="s">
        <v>0</v>
      </c>
      <c r="J217" t="s">
        <v>56</v>
      </c>
      <c r="K217" t="s">
        <v>6</v>
      </c>
      <c r="L217" t="s">
        <v>2</v>
      </c>
      <c r="M217" t="s">
        <v>56</v>
      </c>
    </row>
    <row r="218" spans="1:13" ht="14.1" customHeight="1" x14ac:dyDescent="0.2">
      <c r="A218" s="5" t="s">
        <v>83</v>
      </c>
      <c r="B218" t="s">
        <v>1</v>
      </c>
      <c r="C218" t="s">
        <v>2</v>
      </c>
      <c r="D218" t="s">
        <v>3</v>
      </c>
      <c r="E218" s="2">
        <v>1122.2</v>
      </c>
      <c r="F218" t="s">
        <v>4</v>
      </c>
      <c r="G218" t="s">
        <v>0</v>
      </c>
      <c r="H218" t="s">
        <v>5</v>
      </c>
      <c r="I218" t="s">
        <v>0</v>
      </c>
      <c r="J218" t="s">
        <v>56</v>
      </c>
      <c r="K218" t="s">
        <v>6</v>
      </c>
      <c r="L218" t="s">
        <v>2</v>
      </c>
      <c r="M218" t="s">
        <v>56</v>
      </c>
    </row>
    <row r="219" spans="1:13" ht="14.1" customHeight="1" x14ac:dyDescent="0.2">
      <c r="A219" s="5" t="s">
        <v>83</v>
      </c>
      <c r="B219" t="s">
        <v>1</v>
      </c>
      <c r="C219" t="s">
        <v>2</v>
      </c>
      <c r="D219" t="s">
        <v>3</v>
      </c>
      <c r="E219" s="2">
        <v>1247.3</v>
      </c>
      <c r="F219" t="s">
        <v>4</v>
      </c>
      <c r="G219" t="s">
        <v>0</v>
      </c>
      <c r="H219" t="s">
        <v>5</v>
      </c>
      <c r="I219" t="s">
        <v>0</v>
      </c>
      <c r="J219" t="s">
        <v>56</v>
      </c>
      <c r="K219" t="s">
        <v>6</v>
      </c>
      <c r="L219" t="s">
        <v>2</v>
      </c>
      <c r="M219" t="s">
        <v>56</v>
      </c>
    </row>
    <row r="220" spans="1:13" ht="14.1" customHeight="1" x14ac:dyDescent="0.2">
      <c r="A220" s="5" t="s">
        <v>83</v>
      </c>
      <c r="B220" t="s">
        <v>1</v>
      </c>
      <c r="C220" t="s">
        <v>2</v>
      </c>
      <c r="D220" t="s">
        <v>3</v>
      </c>
      <c r="E220" s="2">
        <v>1782.21</v>
      </c>
      <c r="F220" t="s">
        <v>4</v>
      </c>
      <c r="G220" t="s">
        <v>0</v>
      </c>
      <c r="H220" t="s">
        <v>5</v>
      </c>
      <c r="I220" t="s">
        <v>0</v>
      </c>
      <c r="J220" t="s">
        <v>56</v>
      </c>
      <c r="K220" t="s">
        <v>6</v>
      </c>
      <c r="L220" t="s">
        <v>2</v>
      </c>
      <c r="M220" t="s">
        <v>56</v>
      </c>
    </row>
    <row r="221" spans="1:13" ht="14.1" customHeight="1" x14ac:dyDescent="0.2">
      <c r="A221" s="5" t="s">
        <v>83</v>
      </c>
      <c r="B221" t="s">
        <v>1</v>
      </c>
      <c r="C221" t="s">
        <v>2</v>
      </c>
      <c r="D221" t="s">
        <v>3</v>
      </c>
      <c r="E221" s="2">
        <v>146522.34</v>
      </c>
      <c r="F221" t="s">
        <v>4</v>
      </c>
      <c r="G221" t="s">
        <v>0</v>
      </c>
      <c r="H221" t="s">
        <v>5</v>
      </c>
      <c r="I221" t="s">
        <v>0</v>
      </c>
      <c r="J221" t="s">
        <v>56</v>
      </c>
      <c r="K221" t="s">
        <v>6</v>
      </c>
      <c r="L221" t="s">
        <v>2</v>
      </c>
      <c r="M221" t="s">
        <v>56</v>
      </c>
    </row>
    <row r="222" spans="1:13" ht="14.1" customHeight="1" x14ac:dyDescent="0.2">
      <c r="A222" s="5" t="s">
        <v>83</v>
      </c>
      <c r="B222" t="s">
        <v>1</v>
      </c>
      <c r="C222" t="s">
        <v>2</v>
      </c>
      <c r="D222" t="s">
        <v>3</v>
      </c>
      <c r="E222" s="2">
        <v>236069.02</v>
      </c>
      <c r="F222" t="s">
        <v>4</v>
      </c>
      <c r="G222" t="s">
        <v>0</v>
      </c>
      <c r="H222" t="s">
        <v>5</v>
      </c>
      <c r="I222" t="s">
        <v>0</v>
      </c>
      <c r="J222" t="s">
        <v>57</v>
      </c>
      <c r="K222" t="s">
        <v>6</v>
      </c>
      <c r="L222" t="s">
        <v>2</v>
      </c>
      <c r="M222" t="s">
        <v>57</v>
      </c>
    </row>
    <row r="223" spans="1:13" ht="14.1" customHeight="1" x14ac:dyDescent="0.2">
      <c r="A223" s="5" t="s">
        <v>83</v>
      </c>
      <c r="B223" t="s">
        <v>1</v>
      </c>
      <c r="C223" t="s">
        <v>2</v>
      </c>
      <c r="D223" t="s">
        <v>3</v>
      </c>
      <c r="E223" s="2">
        <v>38921.78</v>
      </c>
      <c r="F223" t="s">
        <v>4</v>
      </c>
      <c r="G223" t="s">
        <v>0</v>
      </c>
      <c r="H223" t="s">
        <v>5</v>
      </c>
      <c r="I223" t="s">
        <v>0</v>
      </c>
      <c r="J223" t="s">
        <v>57</v>
      </c>
      <c r="K223" t="s">
        <v>6</v>
      </c>
      <c r="L223" t="s">
        <v>2</v>
      </c>
      <c r="M223" t="s">
        <v>57</v>
      </c>
    </row>
    <row r="224" spans="1:13" ht="14.1" customHeight="1" x14ac:dyDescent="0.2">
      <c r="A224" s="5" t="s">
        <v>83</v>
      </c>
      <c r="B224" t="s">
        <v>1</v>
      </c>
      <c r="C224" t="s">
        <v>2</v>
      </c>
      <c r="D224" t="s">
        <v>3</v>
      </c>
      <c r="E224" s="2">
        <v>2760.27</v>
      </c>
      <c r="F224" t="s">
        <v>4</v>
      </c>
      <c r="G224" t="s">
        <v>0</v>
      </c>
      <c r="H224" t="s">
        <v>5</v>
      </c>
      <c r="I224" t="s">
        <v>0</v>
      </c>
      <c r="J224" t="s">
        <v>56</v>
      </c>
      <c r="K224" t="s">
        <v>6</v>
      </c>
      <c r="L224" t="s">
        <v>2</v>
      </c>
      <c r="M224" t="s">
        <v>56</v>
      </c>
    </row>
    <row r="225" spans="1:13" ht="14.1" customHeight="1" x14ac:dyDescent="0.2">
      <c r="A225" s="5" t="s">
        <v>83</v>
      </c>
      <c r="B225" t="s">
        <v>1</v>
      </c>
      <c r="C225" t="s">
        <v>2</v>
      </c>
      <c r="D225" t="s">
        <v>3</v>
      </c>
      <c r="E225" s="2">
        <v>8471.92</v>
      </c>
      <c r="F225" t="s">
        <v>4</v>
      </c>
      <c r="G225" t="s">
        <v>0</v>
      </c>
      <c r="H225" t="s">
        <v>5</v>
      </c>
      <c r="I225" t="s">
        <v>0</v>
      </c>
      <c r="J225" t="s">
        <v>56</v>
      </c>
      <c r="K225" t="s">
        <v>6</v>
      </c>
      <c r="L225" t="s">
        <v>2</v>
      </c>
      <c r="M225" t="s">
        <v>56</v>
      </c>
    </row>
    <row r="226" spans="1:13" ht="14.1" customHeight="1" x14ac:dyDescent="0.2">
      <c r="A226" s="5" t="s">
        <v>83</v>
      </c>
      <c r="B226" t="s">
        <v>1</v>
      </c>
      <c r="C226" t="s">
        <v>2</v>
      </c>
      <c r="D226" t="s">
        <v>3</v>
      </c>
      <c r="E226" s="2">
        <v>352.46</v>
      </c>
      <c r="F226" t="s">
        <v>4</v>
      </c>
      <c r="G226" t="s">
        <v>0</v>
      </c>
      <c r="H226" t="s">
        <v>5</v>
      </c>
      <c r="I226" t="s">
        <v>0</v>
      </c>
      <c r="J226" t="s">
        <v>56</v>
      </c>
      <c r="K226" t="s">
        <v>6</v>
      </c>
      <c r="L226" t="s">
        <v>2</v>
      </c>
      <c r="M226" t="s">
        <v>56</v>
      </c>
    </row>
    <row r="227" spans="1:13" ht="14.1" customHeight="1" x14ac:dyDescent="0.2">
      <c r="A227" s="5" t="s">
        <v>83</v>
      </c>
      <c r="B227" t="s">
        <v>1</v>
      </c>
      <c r="C227" t="s">
        <v>2</v>
      </c>
      <c r="D227" t="s">
        <v>3</v>
      </c>
      <c r="E227" s="2">
        <v>351379.48</v>
      </c>
      <c r="F227" t="s">
        <v>4</v>
      </c>
      <c r="G227" t="s">
        <v>0</v>
      </c>
      <c r="H227" t="s">
        <v>5</v>
      </c>
      <c r="I227" t="s">
        <v>0</v>
      </c>
      <c r="J227" t="s">
        <v>56</v>
      </c>
      <c r="K227" t="s">
        <v>6</v>
      </c>
      <c r="L227" t="s">
        <v>2</v>
      </c>
      <c r="M227" t="s">
        <v>56</v>
      </c>
    </row>
    <row r="228" spans="1:13" ht="14.1" customHeight="1" x14ac:dyDescent="0.2">
      <c r="A228" s="5" t="s">
        <v>83</v>
      </c>
      <c r="B228" t="s">
        <v>1</v>
      </c>
      <c r="C228" t="s">
        <v>2</v>
      </c>
      <c r="D228" t="s">
        <v>3</v>
      </c>
      <c r="E228" s="2">
        <v>702812.46</v>
      </c>
      <c r="F228" t="s">
        <v>4</v>
      </c>
      <c r="G228" t="s">
        <v>0</v>
      </c>
      <c r="H228" t="s">
        <v>5</v>
      </c>
      <c r="I228" t="s">
        <v>0</v>
      </c>
      <c r="J228" t="s">
        <v>56</v>
      </c>
      <c r="K228" t="s">
        <v>6</v>
      </c>
      <c r="L228" t="s">
        <v>2</v>
      </c>
      <c r="M228" t="s">
        <v>56</v>
      </c>
    </row>
    <row r="229" spans="1:13" ht="14.1" customHeight="1" x14ac:dyDescent="0.2">
      <c r="A229" s="5" t="s">
        <v>83</v>
      </c>
      <c r="B229" t="s">
        <v>1</v>
      </c>
      <c r="C229" t="s">
        <v>2</v>
      </c>
      <c r="D229" t="s">
        <v>3</v>
      </c>
      <c r="E229" s="2">
        <v>1505.92</v>
      </c>
      <c r="F229" t="s">
        <v>4</v>
      </c>
      <c r="G229" t="s">
        <v>0</v>
      </c>
      <c r="H229" t="s">
        <v>5</v>
      </c>
      <c r="I229" t="s">
        <v>0</v>
      </c>
      <c r="J229" t="s">
        <v>56</v>
      </c>
      <c r="K229" t="s">
        <v>6</v>
      </c>
      <c r="L229" t="s">
        <v>2</v>
      </c>
      <c r="M229" t="s">
        <v>56</v>
      </c>
    </row>
    <row r="230" spans="1:13" ht="14.1" customHeight="1" x14ac:dyDescent="0.2">
      <c r="A230" s="5" t="s">
        <v>83</v>
      </c>
      <c r="B230" t="s">
        <v>1</v>
      </c>
      <c r="C230" t="s">
        <v>2</v>
      </c>
      <c r="D230" t="s">
        <v>3</v>
      </c>
      <c r="E230" s="2">
        <v>1003.94</v>
      </c>
      <c r="F230" t="s">
        <v>4</v>
      </c>
      <c r="G230" t="s">
        <v>0</v>
      </c>
      <c r="H230" t="s">
        <v>5</v>
      </c>
      <c r="I230" t="s">
        <v>0</v>
      </c>
      <c r="J230" t="s">
        <v>56</v>
      </c>
      <c r="K230" t="s">
        <v>6</v>
      </c>
      <c r="L230" t="s">
        <v>2</v>
      </c>
      <c r="M230" t="s">
        <v>56</v>
      </c>
    </row>
    <row r="231" spans="1:13" ht="14.1" customHeight="1" x14ac:dyDescent="0.2">
      <c r="A231" s="5" t="s">
        <v>83</v>
      </c>
      <c r="B231" t="s">
        <v>1</v>
      </c>
      <c r="C231" t="s">
        <v>2</v>
      </c>
      <c r="D231" t="s">
        <v>3</v>
      </c>
      <c r="E231" s="2">
        <v>1327.82</v>
      </c>
      <c r="F231" t="s">
        <v>4</v>
      </c>
      <c r="G231" t="s">
        <v>0</v>
      </c>
      <c r="H231" t="s">
        <v>5</v>
      </c>
      <c r="I231" t="s">
        <v>0</v>
      </c>
      <c r="J231" t="s">
        <v>56</v>
      </c>
      <c r="K231" t="s">
        <v>6</v>
      </c>
      <c r="L231" t="s">
        <v>2</v>
      </c>
      <c r="M231" t="s">
        <v>56</v>
      </c>
    </row>
    <row r="232" spans="1:13" ht="14.1" customHeight="1" x14ac:dyDescent="0.2">
      <c r="A232" s="5" t="s">
        <v>83</v>
      </c>
      <c r="B232" t="s">
        <v>1</v>
      </c>
      <c r="C232" t="s">
        <v>2</v>
      </c>
      <c r="D232" t="s">
        <v>3</v>
      </c>
      <c r="E232" s="2">
        <v>14619.37</v>
      </c>
      <c r="F232" t="s">
        <v>4</v>
      </c>
      <c r="G232" t="s">
        <v>0</v>
      </c>
      <c r="H232" t="s">
        <v>5</v>
      </c>
      <c r="I232" t="s">
        <v>0</v>
      </c>
      <c r="J232" t="s">
        <v>56</v>
      </c>
      <c r="K232" t="s">
        <v>6</v>
      </c>
      <c r="L232" t="s">
        <v>2</v>
      </c>
      <c r="M232" t="s">
        <v>56</v>
      </c>
    </row>
    <row r="233" spans="1:13" ht="14.1" customHeight="1" x14ac:dyDescent="0.2">
      <c r="A233" s="5" t="s">
        <v>83</v>
      </c>
      <c r="B233" t="s">
        <v>1</v>
      </c>
      <c r="C233" t="s">
        <v>2</v>
      </c>
      <c r="D233" t="s">
        <v>3</v>
      </c>
      <c r="E233" s="2">
        <v>393542.91</v>
      </c>
      <c r="F233" t="s">
        <v>4</v>
      </c>
      <c r="G233" t="s">
        <v>0</v>
      </c>
      <c r="H233" t="s">
        <v>5</v>
      </c>
      <c r="I233" t="s">
        <v>0</v>
      </c>
      <c r="J233" t="s">
        <v>56</v>
      </c>
      <c r="K233" t="s">
        <v>6</v>
      </c>
      <c r="L233" t="s">
        <v>2</v>
      </c>
      <c r="M233" t="s">
        <v>56</v>
      </c>
    </row>
    <row r="234" spans="1:13" ht="14.1" customHeight="1" x14ac:dyDescent="0.2">
      <c r="A234" s="5" t="s">
        <v>83</v>
      </c>
      <c r="B234" t="s">
        <v>1</v>
      </c>
      <c r="C234" t="s">
        <v>2</v>
      </c>
      <c r="D234" t="s">
        <v>3</v>
      </c>
      <c r="E234" s="2">
        <v>157417.15</v>
      </c>
      <c r="F234" t="s">
        <v>4</v>
      </c>
      <c r="G234" t="s">
        <v>0</v>
      </c>
      <c r="H234" t="s">
        <v>5</v>
      </c>
      <c r="I234" t="s">
        <v>0</v>
      </c>
      <c r="J234" t="s">
        <v>56</v>
      </c>
      <c r="K234" t="s">
        <v>6</v>
      </c>
      <c r="L234" t="s">
        <v>2</v>
      </c>
      <c r="M234" t="s">
        <v>56</v>
      </c>
    </row>
    <row r="235" spans="1:13" ht="14.1" customHeight="1" x14ac:dyDescent="0.2">
      <c r="A235" s="5" t="s">
        <v>83</v>
      </c>
      <c r="B235" t="s">
        <v>1</v>
      </c>
      <c r="C235" t="s">
        <v>2</v>
      </c>
      <c r="D235" t="s">
        <v>3</v>
      </c>
      <c r="E235" s="2">
        <v>19677.13</v>
      </c>
      <c r="F235" t="s">
        <v>4</v>
      </c>
      <c r="G235" t="s">
        <v>0</v>
      </c>
      <c r="H235" t="s">
        <v>5</v>
      </c>
      <c r="I235" t="s">
        <v>0</v>
      </c>
      <c r="J235" t="s">
        <v>56</v>
      </c>
      <c r="K235" t="s">
        <v>6</v>
      </c>
      <c r="L235" t="s">
        <v>2</v>
      </c>
      <c r="M235" t="s">
        <v>56</v>
      </c>
    </row>
    <row r="236" spans="1:13" ht="14.1" customHeight="1" x14ac:dyDescent="0.2">
      <c r="A236" s="5" t="s">
        <v>83</v>
      </c>
      <c r="B236" t="s">
        <v>1</v>
      </c>
      <c r="C236" t="s">
        <v>2</v>
      </c>
      <c r="D236" t="s">
        <v>3</v>
      </c>
      <c r="E236" s="2">
        <v>13118.09</v>
      </c>
      <c r="F236" t="s">
        <v>4</v>
      </c>
      <c r="G236" t="s">
        <v>0</v>
      </c>
      <c r="H236" t="s">
        <v>5</v>
      </c>
      <c r="I236" t="s">
        <v>0</v>
      </c>
      <c r="J236" t="s">
        <v>56</v>
      </c>
      <c r="K236" t="s">
        <v>6</v>
      </c>
      <c r="L236" t="s">
        <v>2</v>
      </c>
      <c r="M236" t="s">
        <v>56</v>
      </c>
    </row>
    <row r="237" spans="1:13" ht="14.1" customHeight="1" x14ac:dyDescent="0.2">
      <c r="A237" s="5" t="s">
        <v>83</v>
      </c>
      <c r="B237" t="s">
        <v>1</v>
      </c>
      <c r="C237" t="s">
        <v>2</v>
      </c>
      <c r="D237" t="s">
        <v>3</v>
      </c>
      <c r="E237" s="2">
        <v>4467.8500000000004</v>
      </c>
      <c r="F237" t="s">
        <v>4</v>
      </c>
      <c r="G237" t="s">
        <v>0</v>
      </c>
      <c r="H237" t="s">
        <v>5</v>
      </c>
      <c r="I237" t="s">
        <v>0</v>
      </c>
      <c r="J237" t="s">
        <v>56</v>
      </c>
      <c r="K237" t="s">
        <v>6</v>
      </c>
      <c r="L237" t="s">
        <v>2</v>
      </c>
      <c r="M237" t="s">
        <v>56</v>
      </c>
    </row>
    <row r="238" spans="1:13" ht="14.1" customHeight="1" x14ac:dyDescent="0.2">
      <c r="A238" s="5" t="s">
        <v>83</v>
      </c>
      <c r="B238" t="s">
        <v>1</v>
      </c>
      <c r="C238" t="s">
        <v>2</v>
      </c>
      <c r="D238" t="s">
        <v>3</v>
      </c>
      <c r="E238" s="2">
        <v>1017.12</v>
      </c>
      <c r="F238" t="s">
        <v>4</v>
      </c>
      <c r="G238" t="s">
        <v>0</v>
      </c>
      <c r="H238" t="s">
        <v>5</v>
      </c>
      <c r="I238" t="s">
        <v>0</v>
      </c>
      <c r="J238" t="s">
        <v>56</v>
      </c>
      <c r="K238" t="s">
        <v>6</v>
      </c>
      <c r="L238" t="s">
        <v>2</v>
      </c>
      <c r="M238" t="s">
        <v>56</v>
      </c>
    </row>
    <row r="239" spans="1:13" ht="14.1" customHeight="1" x14ac:dyDescent="0.2">
      <c r="A239" s="5" t="s">
        <v>83</v>
      </c>
      <c r="B239" t="s">
        <v>1</v>
      </c>
      <c r="C239" t="s">
        <v>2</v>
      </c>
      <c r="D239" t="s">
        <v>3</v>
      </c>
      <c r="E239" s="2">
        <v>12.96</v>
      </c>
      <c r="F239" t="s">
        <v>4</v>
      </c>
      <c r="G239" t="s">
        <v>0</v>
      </c>
      <c r="H239" t="s">
        <v>5</v>
      </c>
      <c r="I239" t="s">
        <v>0</v>
      </c>
      <c r="J239" t="s">
        <v>56</v>
      </c>
      <c r="K239" t="s">
        <v>6</v>
      </c>
      <c r="L239" t="s">
        <v>2</v>
      </c>
      <c r="M239" t="s">
        <v>56</v>
      </c>
    </row>
    <row r="240" spans="1:13" ht="14.1" customHeight="1" x14ac:dyDescent="0.2">
      <c r="A240" s="5" t="s">
        <v>83</v>
      </c>
      <c r="B240" t="s">
        <v>1</v>
      </c>
      <c r="C240" t="s">
        <v>2</v>
      </c>
      <c r="D240" t="s">
        <v>3</v>
      </c>
      <c r="E240" s="2">
        <v>24756.16</v>
      </c>
      <c r="F240" t="s">
        <v>4</v>
      </c>
      <c r="G240" t="s">
        <v>0</v>
      </c>
      <c r="H240" t="s">
        <v>5</v>
      </c>
      <c r="I240" t="s">
        <v>0</v>
      </c>
      <c r="J240" t="s">
        <v>56</v>
      </c>
      <c r="K240" t="s">
        <v>6</v>
      </c>
      <c r="L240" t="s">
        <v>2</v>
      </c>
      <c r="M240" t="s">
        <v>56</v>
      </c>
    </row>
    <row r="241" spans="1:13" ht="14.1" customHeight="1" x14ac:dyDescent="0.2">
      <c r="A241" s="5" t="s">
        <v>83</v>
      </c>
      <c r="B241" t="s">
        <v>1</v>
      </c>
      <c r="C241" t="s">
        <v>2</v>
      </c>
      <c r="D241" t="s">
        <v>3</v>
      </c>
      <c r="E241" s="2">
        <v>21227.03</v>
      </c>
      <c r="F241" t="s">
        <v>4</v>
      </c>
      <c r="G241" t="s">
        <v>0</v>
      </c>
      <c r="H241" t="s">
        <v>5</v>
      </c>
      <c r="I241" t="s">
        <v>0</v>
      </c>
      <c r="J241" t="s">
        <v>57</v>
      </c>
      <c r="K241" t="s">
        <v>6</v>
      </c>
      <c r="L241" t="s">
        <v>2</v>
      </c>
      <c r="M241" t="s">
        <v>57</v>
      </c>
    </row>
    <row r="242" spans="1:13" ht="14.1" customHeight="1" x14ac:dyDescent="0.2">
      <c r="A242" s="5" t="s">
        <v>83</v>
      </c>
      <c r="B242" t="s">
        <v>1</v>
      </c>
      <c r="C242" t="s">
        <v>2</v>
      </c>
      <c r="D242" t="s">
        <v>3</v>
      </c>
      <c r="E242" s="2">
        <v>20301.09</v>
      </c>
      <c r="F242" t="s">
        <v>4</v>
      </c>
      <c r="G242" t="s">
        <v>0</v>
      </c>
      <c r="H242" t="s">
        <v>5</v>
      </c>
      <c r="I242" t="s">
        <v>0</v>
      </c>
      <c r="J242" t="s">
        <v>56</v>
      </c>
      <c r="K242" t="s">
        <v>6</v>
      </c>
      <c r="L242" t="s">
        <v>2</v>
      </c>
      <c r="M242" t="s">
        <v>56</v>
      </c>
    </row>
    <row r="243" spans="1:13" ht="14.1" customHeight="1" x14ac:dyDescent="0.2">
      <c r="A243" s="5" t="s">
        <v>83</v>
      </c>
      <c r="B243" t="s">
        <v>1</v>
      </c>
      <c r="C243" t="s">
        <v>2</v>
      </c>
      <c r="D243" t="s">
        <v>3</v>
      </c>
      <c r="E243" s="2">
        <v>1368.61</v>
      </c>
      <c r="F243" t="s">
        <v>4</v>
      </c>
      <c r="G243" t="s">
        <v>0</v>
      </c>
      <c r="H243" t="s">
        <v>5</v>
      </c>
      <c r="I243" t="s">
        <v>0</v>
      </c>
      <c r="J243" t="s">
        <v>56</v>
      </c>
      <c r="K243" t="s">
        <v>6</v>
      </c>
      <c r="L243" t="s">
        <v>2</v>
      </c>
      <c r="M243" t="s">
        <v>56</v>
      </c>
    </row>
    <row r="244" spans="1:13" ht="14.1" customHeight="1" x14ac:dyDescent="0.2">
      <c r="A244" s="5" t="s">
        <v>83</v>
      </c>
      <c r="B244" t="s">
        <v>1</v>
      </c>
      <c r="C244" t="s">
        <v>2</v>
      </c>
      <c r="D244" t="s">
        <v>3</v>
      </c>
      <c r="E244" s="2">
        <v>1368.61</v>
      </c>
      <c r="F244" t="s">
        <v>4</v>
      </c>
      <c r="G244" t="s">
        <v>0</v>
      </c>
      <c r="H244" t="s">
        <v>5</v>
      </c>
      <c r="I244" t="s">
        <v>0</v>
      </c>
      <c r="J244" t="s">
        <v>56</v>
      </c>
      <c r="K244" t="s">
        <v>6</v>
      </c>
      <c r="L244" t="s">
        <v>2</v>
      </c>
      <c r="M244" t="s">
        <v>56</v>
      </c>
    </row>
    <row r="245" spans="1:13" ht="14.1" customHeight="1" x14ac:dyDescent="0.2">
      <c r="A245" s="5" t="s">
        <v>83</v>
      </c>
      <c r="B245" t="s">
        <v>1</v>
      </c>
      <c r="C245" t="s">
        <v>2</v>
      </c>
      <c r="D245" t="s">
        <v>3</v>
      </c>
      <c r="E245" s="2">
        <v>2609.4899999999998</v>
      </c>
      <c r="F245" t="s">
        <v>4</v>
      </c>
      <c r="G245" t="s">
        <v>0</v>
      </c>
      <c r="H245" t="s">
        <v>5</v>
      </c>
      <c r="I245" t="s">
        <v>0</v>
      </c>
      <c r="J245" t="s">
        <v>57</v>
      </c>
      <c r="K245" t="s">
        <v>6</v>
      </c>
      <c r="L245" t="s">
        <v>2</v>
      </c>
      <c r="M245" t="s">
        <v>57</v>
      </c>
    </row>
    <row r="246" spans="1:13" ht="14.1" customHeight="1" x14ac:dyDescent="0.2">
      <c r="A246" s="5" t="s">
        <v>83</v>
      </c>
      <c r="B246" t="s">
        <v>1</v>
      </c>
      <c r="C246" t="s">
        <v>2</v>
      </c>
      <c r="D246" t="s">
        <v>3</v>
      </c>
      <c r="E246" s="2">
        <v>17700.73</v>
      </c>
      <c r="F246" t="s">
        <v>4</v>
      </c>
      <c r="G246" t="s">
        <v>0</v>
      </c>
      <c r="H246" t="s">
        <v>5</v>
      </c>
      <c r="I246" t="s">
        <v>0</v>
      </c>
      <c r="J246" t="s">
        <v>56</v>
      </c>
      <c r="K246" t="s">
        <v>6</v>
      </c>
      <c r="L246" t="s">
        <v>2</v>
      </c>
      <c r="M246" t="s">
        <v>56</v>
      </c>
    </row>
    <row r="247" spans="1:13" ht="14.1" customHeight="1" x14ac:dyDescent="0.2">
      <c r="A247" s="5" t="s">
        <v>83</v>
      </c>
      <c r="B247" t="s">
        <v>1</v>
      </c>
      <c r="C247" t="s">
        <v>2</v>
      </c>
      <c r="D247" t="s">
        <v>3</v>
      </c>
      <c r="E247" s="2">
        <v>2.74</v>
      </c>
      <c r="F247" t="s">
        <v>4</v>
      </c>
      <c r="G247" t="s">
        <v>0</v>
      </c>
      <c r="H247" t="s">
        <v>5</v>
      </c>
      <c r="I247" t="s">
        <v>0</v>
      </c>
      <c r="J247" t="s">
        <v>56</v>
      </c>
      <c r="K247" t="s">
        <v>6</v>
      </c>
      <c r="L247" t="s">
        <v>2</v>
      </c>
      <c r="M247" t="s">
        <v>56</v>
      </c>
    </row>
    <row r="248" spans="1:13" ht="14.1" customHeight="1" x14ac:dyDescent="0.2">
      <c r="A248" s="5" t="s">
        <v>83</v>
      </c>
      <c r="B248" t="s">
        <v>1</v>
      </c>
      <c r="C248" t="s">
        <v>2</v>
      </c>
      <c r="D248" t="s">
        <v>3</v>
      </c>
      <c r="E248" s="2">
        <v>2.74</v>
      </c>
      <c r="F248" t="s">
        <v>4</v>
      </c>
      <c r="G248" t="s">
        <v>0</v>
      </c>
      <c r="H248" t="s">
        <v>5</v>
      </c>
      <c r="I248" t="s">
        <v>0</v>
      </c>
      <c r="J248" t="s">
        <v>56</v>
      </c>
      <c r="K248" t="s">
        <v>6</v>
      </c>
      <c r="L248" t="s">
        <v>2</v>
      </c>
      <c r="M248" t="s">
        <v>56</v>
      </c>
    </row>
    <row r="249" spans="1:13" ht="14.1" customHeight="1" x14ac:dyDescent="0.2">
      <c r="A249" s="5" t="s">
        <v>83</v>
      </c>
      <c r="B249" t="s">
        <v>1</v>
      </c>
      <c r="C249" t="s">
        <v>2</v>
      </c>
      <c r="D249" t="s">
        <v>3</v>
      </c>
      <c r="E249" s="2">
        <v>62465.75</v>
      </c>
      <c r="F249" t="s">
        <v>4</v>
      </c>
      <c r="G249" t="s">
        <v>0</v>
      </c>
      <c r="H249" t="s">
        <v>5</v>
      </c>
      <c r="I249" t="s">
        <v>0</v>
      </c>
      <c r="J249" t="s">
        <v>57</v>
      </c>
      <c r="K249" t="s">
        <v>6</v>
      </c>
      <c r="L249" t="s">
        <v>2</v>
      </c>
      <c r="M249" t="s">
        <v>57</v>
      </c>
    </row>
    <row r="250" spans="1:13" ht="14.1" customHeight="1" x14ac:dyDescent="0.2">
      <c r="A250" s="5" t="s">
        <v>83</v>
      </c>
      <c r="B250" t="s">
        <v>1</v>
      </c>
      <c r="C250" t="s">
        <v>2</v>
      </c>
      <c r="D250" t="s">
        <v>3</v>
      </c>
      <c r="E250" s="2">
        <v>62465.75</v>
      </c>
      <c r="F250" t="s">
        <v>4</v>
      </c>
      <c r="G250" t="s">
        <v>0</v>
      </c>
      <c r="H250" t="s">
        <v>5</v>
      </c>
      <c r="I250" t="s">
        <v>0</v>
      </c>
      <c r="J250" t="s">
        <v>57</v>
      </c>
      <c r="K250" t="s">
        <v>6</v>
      </c>
      <c r="L250" t="s">
        <v>2</v>
      </c>
      <c r="M250" t="s">
        <v>57</v>
      </c>
    </row>
    <row r="251" spans="1:13" ht="14.1" customHeight="1" x14ac:dyDescent="0.2">
      <c r="A251" s="5" t="s">
        <v>83</v>
      </c>
      <c r="B251" t="s">
        <v>1</v>
      </c>
      <c r="C251" t="s">
        <v>2</v>
      </c>
      <c r="D251" t="s">
        <v>3</v>
      </c>
      <c r="E251" s="2">
        <v>1221.92</v>
      </c>
      <c r="F251" t="s">
        <v>4</v>
      </c>
      <c r="G251" t="s">
        <v>0</v>
      </c>
      <c r="H251" t="s">
        <v>5</v>
      </c>
      <c r="I251" t="s">
        <v>0</v>
      </c>
      <c r="J251" t="s">
        <v>57</v>
      </c>
      <c r="K251" t="s">
        <v>6</v>
      </c>
      <c r="L251" t="s">
        <v>2</v>
      </c>
      <c r="M251" t="s">
        <v>57</v>
      </c>
    </row>
    <row r="252" spans="1:13" ht="14.1" customHeight="1" x14ac:dyDescent="0.2">
      <c r="A252" s="5" t="s">
        <v>83</v>
      </c>
      <c r="B252" t="s">
        <v>1</v>
      </c>
      <c r="C252" t="s">
        <v>2</v>
      </c>
      <c r="D252" t="s">
        <v>3</v>
      </c>
      <c r="E252" s="2">
        <v>630.14</v>
      </c>
      <c r="F252" t="s">
        <v>4</v>
      </c>
      <c r="G252" t="s">
        <v>0</v>
      </c>
      <c r="H252" t="s">
        <v>5</v>
      </c>
      <c r="I252" t="s">
        <v>0</v>
      </c>
      <c r="J252" t="s">
        <v>57</v>
      </c>
      <c r="K252" t="s">
        <v>6</v>
      </c>
      <c r="L252" t="s">
        <v>2</v>
      </c>
      <c r="M252" t="s">
        <v>57</v>
      </c>
    </row>
    <row r="253" spans="1:13" ht="14.1" customHeight="1" x14ac:dyDescent="0.2">
      <c r="A253" s="5" t="s">
        <v>83</v>
      </c>
      <c r="B253" t="s">
        <v>1</v>
      </c>
      <c r="C253" t="s">
        <v>2</v>
      </c>
      <c r="D253" t="s">
        <v>3</v>
      </c>
      <c r="E253" s="2">
        <v>43.15</v>
      </c>
      <c r="F253" t="s">
        <v>4</v>
      </c>
      <c r="G253" t="s">
        <v>0</v>
      </c>
      <c r="H253" t="s">
        <v>5</v>
      </c>
      <c r="I253" t="s">
        <v>0</v>
      </c>
      <c r="J253" t="s">
        <v>57</v>
      </c>
      <c r="K253" t="s">
        <v>6</v>
      </c>
      <c r="L253" t="s">
        <v>2</v>
      </c>
      <c r="M253" t="s">
        <v>57</v>
      </c>
    </row>
    <row r="254" spans="1:13" ht="14.1" customHeight="1" x14ac:dyDescent="0.2">
      <c r="A254" s="5" t="s">
        <v>83</v>
      </c>
      <c r="B254" t="s">
        <v>1</v>
      </c>
      <c r="C254" t="s">
        <v>2</v>
      </c>
      <c r="D254" t="s">
        <v>3</v>
      </c>
      <c r="E254" s="2">
        <v>228.29</v>
      </c>
      <c r="F254" t="s">
        <v>4</v>
      </c>
      <c r="G254" t="s">
        <v>0</v>
      </c>
      <c r="H254" t="s">
        <v>5</v>
      </c>
      <c r="I254" t="s">
        <v>0</v>
      </c>
      <c r="J254" t="s">
        <v>57</v>
      </c>
      <c r="K254" t="s">
        <v>6</v>
      </c>
      <c r="L254" t="s">
        <v>2</v>
      </c>
      <c r="M254" t="s">
        <v>57</v>
      </c>
    </row>
    <row r="255" spans="1:13" ht="14.1" customHeight="1" x14ac:dyDescent="0.2">
      <c r="A255" s="5" t="s">
        <v>83</v>
      </c>
      <c r="B255" t="s">
        <v>14</v>
      </c>
      <c r="C255" t="s">
        <v>23</v>
      </c>
      <c r="D255" t="s">
        <v>19</v>
      </c>
      <c r="E255" s="2">
        <v>204916.88</v>
      </c>
      <c r="F255" t="s">
        <v>4</v>
      </c>
      <c r="G255" t="s">
        <v>24</v>
      </c>
      <c r="H255" t="s">
        <v>25</v>
      </c>
      <c r="I255" t="s">
        <v>0</v>
      </c>
      <c r="J255" t="s">
        <v>57</v>
      </c>
      <c r="K255" t="s">
        <v>18</v>
      </c>
      <c r="L255" t="s">
        <v>0</v>
      </c>
      <c r="M255" t="s">
        <v>57</v>
      </c>
    </row>
    <row r="256" spans="1:13" ht="14.1" customHeight="1" x14ac:dyDescent="0.2">
      <c r="A256" s="5" t="s">
        <v>83</v>
      </c>
      <c r="B256" t="s">
        <v>14</v>
      </c>
      <c r="C256" t="s">
        <v>23</v>
      </c>
      <c r="D256" t="s">
        <v>19</v>
      </c>
      <c r="E256" s="2">
        <v>64879.69</v>
      </c>
      <c r="F256" t="s">
        <v>4</v>
      </c>
      <c r="G256" t="s">
        <v>24</v>
      </c>
      <c r="H256" t="s">
        <v>25</v>
      </c>
      <c r="I256" t="s">
        <v>0</v>
      </c>
      <c r="J256" t="s">
        <v>56</v>
      </c>
      <c r="K256" t="s">
        <v>18</v>
      </c>
      <c r="L256" t="s">
        <v>0</v>
      </c>
      <c r="M256" t="s">
        <v>56</v>
      </c>
    </row>
    <row r="257" spans="1:13" ht="14.1" customHeight="1" x14ac:dyDescent="0.2">
      <c r="A257" s="5" t="s">
        <v>83</v>
      </c>
      <c r="B257" t="s">
        <v>14</v>
      </c>
      <c r="C257" t="s">
        <v>20</v>
      </c>
      <c r="D257" t="s">
        <v>19</v>
      </c>
      <c r="E257" s="2">
        <v>181464.46</v>
      </c>
      <c r="F257" t="s">
        <v>4</v>
      </c>
      <c r="G257" t="s">
        <v>21</v>
      </c>
      <c r="H257" t="s">
        <v>22</v>
      </c>
      <c r="I257" t="s">
        <v>0</v>
      </c>
      <c r="J257" t="s">
        <v>57</v>
      </c>
      <c r="K257" t="s">
        <v>18</v>
      </c>
      <c r="L257" t="s">
        <v>0</v>
      </c>
      <c r="M257" t="s">
        <v>57</v>
      </c>
    </row>
    <row r="258" spans="1:13" ht="14.1" customHeight="1" x14ac:dyDescent="0.2">
      <c r="A258" s="5" t="s">
        <v>83</v>
      </c>
      <c r="B258" t="s">
        <v>14</v>
      </c>
      <c r="C258" t="s">
        <v>20</v>
      </c>
      <c r="D258" t="s">
        <v>19</v>
      </c>
      <c r="E258" s="2">
        <v>90494.92</v>
      </c>
      <c r="F258" t="s">
        <v>4</v>
      </c>
      <c r="G258" t="s">
        <v>21</v>
      </c>
      <c r="H258" t="s">
        <v>22</v>
      </c>
      <c r="I258" t="s">
        <v>0</v>
      </c>
      <c r="J258" t="s">
        <v>56</v>
      </c>
      <c r="K258" t="s">
        <v>18</v>
      </c>
      <c r="L258" t="s">
        <v>0</v>
      </c>
      <c r="M258" t="s">
        <v>56</v>
      </c>
    </row>
    <row r="259" spans="1:13" ht="14.1" customHeight="1" x14ac:dyDescent="0.2">
      <c r="A259" s="5" t="s">
        <v>83</v>
      </c>
      <c r="B259" t="s">
        <v>14</v>
      </c>
      <c r="C259" t="s">
        <v>9</v>
      </c>
      <c r="D259" t="s">
        <v>10</v>
      </c>
      <c r="E259" s="2">
        <v>20749.03</v>
      </c>
      <c r="F259" t="s">
        <v>4</v>
      </c>
      <c r="G259" t="s">
        <v>64</v>
      </c>
      <c r="H259" t="s">
        <v>17</v>
      </c>
      <c r="I259" t="s">
        <v>0</v>
      </c>
      <c r="J259" t="s">
        <v>60</v>
      </c>
      <c r="K259" t="s">
        <v>6</v>
      </c>
      <c r="L259" t="s">
        <v>0</v>
      </c>
      <c r="M259" t="s">
        <v>60</v>
      </c>
    </row>
    <row r="260" spans="1:13" ht="14.1" customHeight="1" x14ac:dyDescent="0.2">
      <c r="A260" s="5" t="s">
        <v>83</v>
      </c>
      <c r="B260" t="s">
        <v>14</v>
      </c>
      <c r="C260" t="s">
        <v>9</v>
      </c>
      <c r="D260" t="s">
        <v>10</v>
      </c>
      <c r="E260" s="2">
        <v>50196.2</v>
      </c>
      <c r="F260" t="s">
        <v>4</v>
      </c>
      <c r="G260" t="s">
        <v>62</v>
      </c>
      <c r="H260" t="s">
        <v>15</v>
      </c>
      <c r="I260" t="s">
        <v>0</v>
      </c>
      <c r="J260" t="s">
        <v>60</v>
      </c>
      <c r="K260" t="s">
        <v>6</v>
      </c>
      <c r="L260" t="s">
        <v>0</v>
      </c>
      <c r="M260" t="s">
        <v>60</v>
      </c>
    </row>
  </sheetData>
  <sortState xmlns:xlrd2="http://schemas.microsoft.com/office/spreadsheetml/2017/richdata2" ref="A2:M260">
    <sortCondition ref="B1:B260"/>
  </sortState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L285"/>
  <sheetViews>
    <sheetView workbookViewId="0">
      <selection activeCell="B12" sqref="B12"/>
    </sheetView>
  </sheetViews>
  <sheetFormatPr defaultRowHeight="12.75" x14ac:dyDescent="0.2"/>
  <cols>
    <col min="2" max="2" width="20" bestFit="1" customWidth="1"/>
    <col min="3" max="3" width="27" bestFit="1" customWidth="1"/>
    <col min="4" max="4" width="10" bestFit="1" customWidth="1"/>
    <col min="5" max="5" width="14" bestFit="1" customWidth="1"/>
    <col min="6" max="6" width="12" bestFit="1" customWidth="1"/>
    <col min="7" max="7" width="18" bestFit="1" customWidth="1"/>
    <col min="8" max="8" width="13" bestFit="1" customWidth="1"/>
    <col min="9" max="9" width="14" bestFit="1" customWidth="1"/>
    <col min="10" max="10" width="12" bestFit="1" customWidth="1"/>
    <col min="11" max="11" width="9" bestFit="1" customWidth="1"/>
    <col min="12" max="12" width="12" bestFit="1" customWidth="1"/>
  </cols>
  <sheetData>
    <row r="1" spans="1:12" ht="38.25" x14ac:dyDescent="0.2">
      <c r="A1" s="4" t="s">
        <v>84</v>
      </c>
      <c r="B1" s="1" t="s">
        <v>44</v>
      </c>
      <c r="C1" s="1" t="s">
        <v>45</v>
      </c>
      <c r="D1" s="3" t="s">
        <v>46</v>
      </c>
      <c r="E1" s="3" t="s">
        <v>47</v>
      </c>
      <c r="F1" s="3" t="s">
        <v>48</v>
      </c>
      <c r="G1" s="1" t="s">
        <v>49</v>
      </c>
      <c r="H1" s="1" t="s">
        <v>50</v>
      </c>
      <c r="I1" s="1" t="s">
        <v>51</v>
      </c>
      <c r="J1" s="1" t="s">
        <v>52</v>
      </c>
      <c r="K1" s="3" t="s">
        <v>53</v>
      </c>
      <c r="L1" s="1" t="s">
        <v>55</v>
      </c>
    </row>
    <row r="2" spans="1:12" ht="14.1" customHeight="1" x14ac:dyDescent="0.2">
      <c r="A2" s="5" t="s">
        <v>85</v>
      </c>
      <c r="B2" t="s">
        <v>27</v>
      </c>
      <c r="C2" t="s">
        <v>28</v>
      </c>
      <c r="D2" t="s">
        <v>19</v>
      </c>
      <c r="E2" s="2">
        <v>965719.09</v>
      </c>
      <c r="F2" t="s">
        <v>4</v>
      </c>
      <c r="G2" t="s">
        <v>29</v>
      </c>
      <c r="H2" t="s">
        <v>30</v>
      </c>
      <c r="I2" t="s">
        <v>0</v>
      </c>
      <c r="J2" t="s">
        <v>77</v>
      </c>
      <c r="K2" t="s">
        <v>18</v>
      </c>
      <c r="L2" t="s">
        <v>77</v>
      </c>
    </row>
    <row r="3" spans="1:12" ht="14.1" customHeight="1" x14ac:dyDescent="0.2">
      <c r="A3" s="5" t="s">
        <v>85</v>
      </c>
      <c r="B3" t="s">
        <v>8</v>
      </c>
      <c r="C3" t="s">
        <v>9</v>
      </c>
      <c r="D3" t="s">
        <v>10</v>
      </c>
      <c r="E3" s="2">
        <v>342958.58</v>
      </c>
      <c r="F3" t="s">
        <v>4</v>
      </c>
      <c r="G3" t="s">
        <v>68</v>
      </c>
      <c r="H3" t="s">
        <v>11</v>
      </c>
      <c r="I3" t="s">
        <v>0</v>
      </c>
      <c r="J3" t="s">
        <v>69</v>
      </c>
      <c r="K3" t="s">
        <v>6</v>
      </c>
      <c r="L3" t="s">
        <v>69</v>
      </c>
    </row>
    <row r="4" spans="1:12" ht="14.1" customHeight="1" x14ac:dyDescent="0.2">
      <c r="A4" s="5" t="s">
        <v>85</v>
      </c>
      <c r="B4" t="s">
        <v>12</v>
      </c>
      <c r="C4" t="s">
        <v>9</v>
      </c>
      <c r="D4" t="s">
        <v>10</v>
      </c>
      <c r="E4" s="2">
        <v>602734.06999999995</v>
      </c>
      <c r="F4" t="s">
        <v>4</v>
      </c>
      <c r="G4" t="s">
        <v>70</v>
      </c>
      <c r="H4" t="s">
        <v>13</v>
      </c>
      <c r="I4" t="s">
        <v>0</v>
      </c>
      <c r="J4" t="s">
        <v>69</v>
      </c>
      <c r="K4" t="s">
        <v>6</v>
      </c>
      <c r="L4" t="s">
        <v>69</v>
      </c>
    </row>
    <row r="5" spans="1:12" ht="14.1" customHeight="1" x14ac:dyDescent="0.2">
      <c r="A5" s="5" t="s">
        <v>85</v>
      </c>
      <c r="B5" t="s">
        <v>12</v>
      </c>
      <c r="C5" t="s">
        <v>9</v>
      </c>
      <c r="D5" t="s">
        <v>10</v>
      </c>
      <c r="E5" s="2">
        <v>1828944.11</v>
      </c>
      <c r="F5" t="s">
        <v>4</v>
      </c>
      <c r="G5" t="s">
        <v>72</v>
      </c>
      <c r="H5" t="s">
        <v>16</v>
      </c>
      <c r="I5" t="s">
        <v>0</v>
      </c>
      <c r="J5" t="s">
        <v>69</v>
      </c>
      <c r="K5" t="s">
        <v>6</v>
      </c>
      <c r="L5" t="s">
        <v>69</v>
      </c>
    </row>
    <row r="6" spans="1:12" ht="14.1" customHeight="1" x14ac:dyDescent="0.2">
      <c r="A6" s="5" t="s">
        <v>85</v>
      </c>
      <c r="B6" t="s">
        <v>12</v>
      </c>
      <c r="C6" t="s">
        <v>0</v>
      </c>
      <c r="D6" t="s">
        <v>19</v>
      </c>
      <c r="E6" s="2">
        <v>1644250</v>
      </c>
      <c r="F6" t="s">
        <v>4</v>
      </c>
      <c r="G6" t="s">
        <v>36</v>
      </c>
      <c r="H6" t="s">
        <v>37</v>
      </c>
      <c r="I6" t="s">
        <v>0</v>
      </c>
      <c r="J6" t="s">
        <v>78</v>
      </c>
      <c r="K6" t="s">
        <v>18</v>
      </c>
      <c r="L6" t="s">
        <v>78</v>
      </c>
    </row>
    <row r="7" spans="1:12" ht="14.1" customHeight="1" x14ac:dyDescent="0.2">
      <c r="A7" s="5" t="s">
        <v>85</v>
      </c>
      <c r="B7" t="s">
        <v>12</v>
      </c>
      <c r="C7" t="s">
        <v>0</v>
      </c>
      <c r="D7" t="s">
        <v>19</v>
      </c>
      <c r="E7" s="2">
        <v>1344000</v>
      </c>
      <c r="F7" t="s">
        <v>4</v>
      </c>
      <c r="G7" t="s">
        <v>38</v>
      </c>
      <c r="H7" t="s">
        <v>39</v>
      </c>
      <c r="I7" t="s">
        <v>0</v>
      </c>
      <c r="J7" t="s">
        <v>78</v>
      </c>
      <c r="K7" t="s">
        <v>18</v>
      </c>
      <c r="L7" t="s">
        <v>78</v>
      </c>
    </row>
    <row r="8" spans="1:12" ht="14.1" customHeight="1" x14ac:dyDescent="0.2">
      <c r="A8" s="5" t="s">
        <v>85</v>
      </c>
      <c r="B8" t="s">
        <v>12</v>
      </c>
      <c r="C8" t="s">
        <v>0</v>
      </c>
      <c r="D8" t="s">
        <v>19</v>
      </c>
      <c r="E8" s="2">
        <v>1796504.62</v>
      </c>
      <c r="F8" t="s">
        <v>4</v>
      </c>
      <c r="G8" t="s">
        <v>40</v>
      </c>
      <c r="H8" t="s">
        <v>41</v>
      </c>
      <c r="I8" t="s">
        <v>0</v>
      </c>
      <c r="J8" t="s">
        <v>78</v>
      </c>
      <c r="K8" t="s">
        <v>18</v>
      </c>
      <c r="L8" t="s">
        <v>78</v>
      </c>
    </row>
    <row r="9" spans="1:12" ht="14.1" customHeight="1" x14ac:dyDescent="0.2">
      <c r="A9" s="5" t="s">
        <v>85</v>
      </c>
      <c r="B9" t="s">
        <v>12</v>
      </c>
      <c r="C9" t="s">
        <v>0</v>
      </c>
      <c r="D9" t="s">
        <v>19</v>
      </c>
      <c r="E9" s="2">
        <v>5540</v>
      </c>
      <c r="F9" t="s">
        <v>4</v>
      </c>
      <c r="G9" t="s">
        <v>42</v>
      </c>
      <c r="H9" t="s">
        <v>43</v>
      </c>
      <c r="I9" t="s">
        <v>0</v>
      </c>
      <c r="J9" t="s">
        <v>79</v>
      </c>
      <c r="K9" t="s">
        <v>18</v>
      </c>
      <c r="L9" t="s">
        <v>79</v>
      </c>
    </row>
    <row r="10" spans="1:12" ht="14.1" customHeight="1" x14ac:dyDescent="0.2">
      <c r="A10" s="5" t="s">
        <v>85</v>
      </c>
      <c r="B10" t="s">
        <v>31</v>
      </c>
      <c r="C10" t="s">
        <v>26</v>
      </c>
      <c r="D10" t="s">
        <v>19</v>
      </c>
      <c r="E10" s="2">
        <v>1147986.17</v>
      </c>
      <c r="F10" t="s">
        <v>4</v>
      </c>
      <c r="G10" t="s">
        <v>32</v>
      </c>
      <c r="H10" t="s">
        <v>33</v>
      </c>
      <c r="I10" t="s">
        <v>0</v>
      </c>
      <c r="J10" t="s">
        <v>74</v>
      </c>
      <c r="K10" t="s">
        <v>18</v>
      </c>
      <c r="L10" t="s">
        <v>74</v>
      </c>
    </row>
    <row r="11" spans="1:12" ht="14.1" customHeight="1" x14ac:dyDescent="0.2">
      <c r="A11" s="5" t="s">
        <v>85</v>
      </c>
      <c r="B11" t="s">
        <v>31</v>
      </c>
      <c r="C11" t="s">
        <v>0</v>
      </c>
      <c r="D11" t="s">
        <v>19</v>
      </c>
      <c r="E11" s="2">
        <v>2082255</v>
      </c>
      <c r="F11" t="s">
        <v>4</v>
      </c>
      <c r="G11" t="s">
        <v>34</v>
      </c>
      <c r="H11" t="s">
        <v>35</v>
      </c>
      <c r="I11" t="s">
        <v>0</v>
      </c>
      <c r="J11" t="s">
        <v>76</v>
      </c>
      <c r="K11" t="s">
        <v>18</v>
      </c>
      <c r="L11" t="s">
        <v>76</v>
      </c>
    </row>
    <row r="12" spans="1:12" ht="14.1" customHeight="1" x14ac:dyDescent="0.2">
      <c r="A12" s="5" t="s">
        <v>85</v>
      </c>
      <c r="B12" t="s">
        <v>1</v>
      </c>
      <c r="C12" t="s">
        <v>80</v>
      </c>
      <c r="D12" t="s">
        <v>3</v>
      </c>
      <c r="E12" s="2">
        <v>113039.59</v>
      </c>
      <c r="F12" t="s">
        <v>4</v>
      </c>
      <c r="G12" t="s">
        <v>0</v>
      </c>
      <c r="H12" t="s">
        <v>81</v>
      </c>
      <c r="I12" t="s">
        <v>0</v>
      </c>
      <c r="J12" t="s">
        <v>76</v>
      </c>
      <c r="K12" t="s">
        <v>6</v>
      </c>
      <c r="L12" t="s">
        <v>76</v>
      </c>
    </row>
    <row r="13" spans="1:12" ht="14.1" customHeight="1" x14ac:dyDescent="0.2">
      <c r="A13" s="5" t="s">
        <v>85</v>
      </c>
      <c r="B13" t="s">
        <v>1</v>
      </c>
      <c r="C13" t="s">
        <v>80</v>
      </c>
      <c r="D13" t="s">
        <v>3</v>
      </c>
      <c r="E13" s="2">
        <v>51629</v>
      </c>
      <c r="F13" t="s">
        <v>4</v>
      </c>
      <c r="G13" t="s">
        <v>0</v>
      </c>
      <c r="H13" t="s">
        <v>81</v>
      </c>
      <c r="I13" t="s">
        <v>0</v>
      </c>
      <c r="J13" t="s">
        <v>74</v>
      </c>
      <c r="K13" t="s">
        <v>6</v>
      </c>
      <c r="L13" t="s">
        <v>74</v>
      </c>
    </row>
    <row r="14" spans="1:12" ht="14.1" customHeight="1" x14ac:dyDescent="0.2">
      <c r="A14" s="5" t="s">
        <v>85</v>
      </c>
      <c r="B14" t="s">
        <v>1</v>
      </c>
      <c r="C14" t="s">
        <v>80</v>
      </c>
      <c r="D14" t="s">
        <v>3</v>
      </c>
      <c r="E14" s="2">
        <v>1919.31</v>
      </c>
      <c r="F14" t="s">
        <v>4</v>
      </c>
      <c r="G14" t="s">
        <v>0</v>
      </c>
      <c r="H14" t="s">
        <v>81</v>
      </c>
      <c r="I14" t="s">
        <v>0</v>
      </c>
      <c r="J14" t="s">
        <v>74</v>
      </c>
      <c r="K14" t="s">
        <v>6</v>
      </c>
      <c r="L14" t="s">
        <v>74</v>
      </c>
    </row>
    <row r="15" spans="1:12" ht="14.1" customHeight="1" x14ac:dyDescent="0.2">
      <c r="A15" s="5" t="s">
        <v>85</v>
      </c>
      <c r="B15" t="s">
        <v>1</v>
      </c>
      <c r="C15" t="s">
        <v>80</v>
      </c>
      <c r="D15" t="s">
        <v>3</v>
      </c>
      <c r="E15" s="2">
        <v>126571.89</v>
      </c>
      <c r="F15" t="s">
        <v>4</v>
      </c>
      <c r="G15" t="s">
        <v>0</v>
      </c>
      <c r="H15" t="s">
        <v>81</v>
      </c>
      <c r="I15" t="s">
        <v>0</v>
      </c>
      <c r="J15" t="s">
        <v>74</v>
      </c>
      <c r="K15" t="s">
        <v>6</v>
      </c>
      <c r="L15" t="s">
        <v>74</v>
      </c>
    </row>
    <row r="16" spans="1:12" ht="14.1" customHeight="1" x14ac:dyDescent="0.2">
      <c r="A16" s="5" t="s">
        <v>85</v>
      </c>
      <c r="B16" t="s">
        <v>1</v>
      </c>
      <c r="C16" t="s">
        <v>80</v>
      </c>
      <c r="D16" t="s">
        <v>3</v>
      </c>
      <c r="E16" s="2">
        <v>2878.95</v>
      </c>
      <c r="F16" t="s">
        <v>4</v>
      </c>
      <c r="G16" t="s">
        <v>0</v>
      </c>
      <c r="H16" t="s">
        <v>81</v>
      </c>
      <c r="I16" t="s">
        <v>0</v>
      </c>
      <c r="J16" t="s">
        <v>74</v>
      </c>
      <c r="K16" t="s">
        <v>6</v>
      </c>
      <c r="L16" t="s">
        <v>74</v>
      </c>
    </row>
    <row r="17" spans="1:12" ht="14.1" customHeight="1" x14ac:dyDescent="0.2">
      <c r="A17" s="5" t="s">
        <v>85</v>
      </c>
      <c r="B17" t="s">
        <v>1</v>
      </c>
      <c r="C17" t="s">
        <v>80</v>
      </c>
      <c r="D17" t="s">
        <v>3</v>
      </c>
      <c r="E17" s="2">
        <v>5934.95</v>
      </c>
      <c r="F17" t="s">
        <v>4</v>
      </c>
      <c r="G17" t="s">
        <v>0</v>
      </c>
      <c r="H17" t="s">
        <v>81</v>
      </c>
      <c r="I17" t="s">
        <v>0</v>
      </c>
      <c r="J17" t="s">
        <v>74</v>
      </c>
      <c r="K17" t="s">
        <v>6</v>
      </c>
      <c r="L17" t="s">
        <v>74</v>
      </c>
    </row>
    <row r="18" spans="1:12" ht="14.1" customHeight="1" x14ac:dyDescent="0.2">
      <c r="A18" s="5" t="s">
        <v>85</v>
      </c>
      <c r="B18" t="s">
        <v>1</v>
      </c>
      <c r="C18" t="s">
        <v>80</v>
      </c>
      <c r="D18" t="s">
        <v>3</v>
      </c>
      <c r="E18" s="2">
        <v>10478.549999999999</v>
      </c>
      <c r="F18" t="s">
        <v>4</v>
      </c>
      <c r="G18" t="s">
        <v>0</v>
      </c>
      <c r="H18" t="s">
        <v>81</v>
      </c>
      <c r="I18" t="s">
        <v>0</v>
      </c>
      <c r="J18" t="s">
        <v>74</v>
      </c>
      <c r="K18" t="s">
        <v>6</v>
      </c>
      <c r="L18" t="s">
        <v>74</v>
      </c>
    </row>
    <row r="19" spans="1:12" ht="14.1" customHeight="1" x14ac:dyDescent="0.2">
      <c r="A19" s="5" t="s">
        <v>85</v>
      </c>
      <c r="B19" t="s">
        <v>1</v>
      </c>
      <c r="C19" t="s">
        <v>80</v>
      </c>
      <c r="D19" t="s">
        <v>3</v>
      </c>
      <c r="E19" s="2">
        <v>203541.13</v>
      </c>
      <c r="F19" t="s">
        <v>4</v>
      </c>
      <c r="G19" t="s">
        <v>0</v>
      </c>
      <c r="H19" t="s">
        <v>81</v>
      </c>
      <c r="I19" t="s">
        <v>0</v>
      </c>
      <c r="J19" t="s">
        <v>74</v>
      </c>
      <c r="K19" t="s">
        <v>6</v>
      </c>
      <c r="L19" t="s">
        <v>74</v>
      </c>
    </row>
    <row r="20" spans="1:12" ht="14.1" customHeight="1" x14ac:dyDescent="0.2">
      <c r="A20" s="5" t="s">
        <v>85</v>
      </c>
      <c r="B20" t="s">
        <v>1</v>
      </c>
      <c r="C20" t="s">
        <v>80</v>
      </c>
      <c r="D20" t="s">
        <v>3</v>
      </c>
      <c r="E20" s="2">
        <v>55099.63</v>
      </c>
      <c r="F20" t="s">
        <v>4</v>
      </c>
      <c r="G20" t="s">
        <v>0</v>
      </c>
      <c r="H20" t="s">
        <v>81</v>
      </c>
      <c r="I20" t="s">
        <v>0</v>
      </c>
      <c r="J20" t="s">
        <v>74</v>
      </c>
      <c r="K20" t="s">
        <v>6</v>
      </c>
      <c r="L20" t="s">
        <v>74</v>
      </c>
    </row>
    <row r="21" spans="1:12" ht="14.1" customHeight="1" x14ac:dyDescent="0.2">
      <c r="A21" s="5" t="s">
        <v>85</v>
      </c>
      <c r="B21" t="s">
        <v>1</v>
      </c>
      <c r="C21" t="s">
        <v>80</v>
      </c>
      <c r="D21" t="s">
        <v>3</v>
      </c>
      <c r="E21" s="2">
        <v>582600.18999999994</v>
      </c>
      <c r="F21" t="s">
        <v>4</v>
      </c>
      <c r="G21" t="s">
        <v>0</v>
      </c>
      <c r="H21" t="s">
        <v>81</v>
      </c>
      <c r="I21" t="s">
        <v>0</v>
      </c>
      <c r="J21" t="s">
        <v>74</v>
      </c>
      <c r="K21" t="s">
        <v>6</v>
      </c>
      <c r="L21" t="s">
        <v>74</v>
      </c>
    </row>
    <row r="22" spans="1:12" ht="14.1" customHeight="1" x14ac:dyDescent="0.2">
      <c r="A22" s="5" t="s">
        <v>85</v>
      </c>
      <c r="B22" t="s">
        <v>1</v>
      </c>
      <c r="C22" t="s">
        <v>80</v>
      </c>
      <c r="D22" t="s">
        <v>3</v>
      </c>
      <c r="E22" s="2">
        <v>6125.37</v>
      </c>
      <c r="F22" t="s">
        <v>4</v>
      </c>
      <c r="G22" t="s">
        <v>0</v>
      </c>
      <c r="H22" t="s">
        <v>81</v>
      </c>
      <c r="I22" t="s">
        <v>0</v>
      </c>
      <c r="J22" t="s">
        <v>74</v>
      </c>
      <c r="K22" t="s">
        <v>6</v>
      </c>
      <c r="L22" t="s">
        <v>74</v>
      </c>
    </row>
    <row r="23" spans="1:12" ht="14.1" customHeight="1" x14ac:dyDescent="0.2">
      <c r="A23" s="5" t="s">
        <v>85</v>
      </c>
      <c r="B23" t="s">
        <v>1</v>
      </c>
      <c r="C23" t="s">
        <v>80</v>
      </c>
      <c r="D23" t="s">
        <v>3</v>
      </c>
      <c r="E23" s="2">
        <v>17322.080000000002</v>
      </c>
      <c r="F23" t="s">
        <v>4</v>
      </c>
      <c r="G23" t="s">
        <v>0</v>
      </c>
      <c r="H23" t="s">
        <v>81</v>
      </c>
      <c r="I23" t="s">
        <v>0</v>
      </c>
      <c r="J23" t="s">
        <v>76</v>
      </c>
      <c r="K23" t="s">
        <v>6</v>
      </c>
      <c r="L23" t="s">
        <v>76</v>
      </c>
    </row>
    <row r="24" spans="1:12" ht="14.1" customHeight="1" x14ac:dyDescent="0.2">
      <c r="A24" s="5" t="s">
        <v>85</v>
      </c>
      <c r="B24" t="s">
        <v>1</v>
      </c>
      <c r="C24" t="s">
        <v>80</v>
      </c>
      <c r="D24" t="s">
        <v>3</v>
      </c>
      <c r="E24" s="2">
        <v>8910.2800000000007</v>
      </c>
      <c r="F24" t="s">
        <v>4</v>
      </c>
      <c r="G24" t="s">
        <v>0</v>
      </c>
      <c r="H24" t="s">
        <v>81</v>
      </c>
      <c r="I24" t="s">
        <v>0</v>
      </c>
      <c r="J24" t="s">
        <v>76</v>
      </c>
      <c r="K24" t="s">
        <v>6</v>
      </c>
      <c r="L24" t="s">
        <v>76</v>
      </c>
    </row>
    <row r="25" spans="1:12" ht="14.1" customHeight="1" x14ac:dyDescent="0.2">
      <c r="A25" s="5" t="s">
        <v>85</v>
      </c>
      <c r="B25" t="s">
        <v>1</v>
      </c>
      <c r="C25" t="s">
        <v>80</v>
      </c>
      <c r="D25" t="s">
        <v>3</v>
      </c>
      <c r="E25" s="2">
        <v>604.92999999999995</v>
      </c>
      <c r="F25" t="s">
        <v>4</v>
      </c>
      <c r="G25" t="s">
        <v>0</v>
      </c>
      <c r="H25" t="s">
        <v>81</v>
      </c>
      <c r="I25" t="s">
        <v>0</v>
      </c>
      <c r="J25" t="s">
        <v>76</v>
      </c>
      <c r="K25" t="s">
        <v>6</v>
      </c>
      <c r="L25" t="s">
        <v>76</v>
      </c>
    </row>
    <row r="26" spans="1:12" ht="14.1" customHeight="1" x14ac:dyDescent="0.2">
      <c r="A26" s="5" t="s">
        <v>85</v>
      </c>
      <c r="B26" t="s">
        <v>1</v>
      </c>
      <c r="C26" t="s">
        <v>80</v>
      </c>
      <c r="D26" t="s">
        <v>3</v>
      </c>
      <c r="E26" s="2">
        <v>3233.54</v>
      </c>
      <c r="F26" t="s">
        <v>4</v>
      </c>
      <c r="G26" t="s">
        <v>0</v>
      </c>
      <c r="H26" t="s">
        <v>81</v>
      </c>
      <c r="I26" t="s">
        <v>0</v>
      </c>
      <c r="J26" t="s">
        <v>76</v>
      </c>
      <c r="K26" t="s">
        <v>6</v>
      </c>
      <c r="L26" t="s">
        <v>76</v>
      </c>
    </row>
    <row r="27" spans="1:12" ht="14.1" customHeight="1" x14ac:dyDescent="0.2">
      <c r="A27" s="5" t="s">
        <v>85</v>
      </c>
      <c r="B27" t="s">
        <v>1</v>
      </c>
      <c r="C27" t="s">
        <v>80</v>
      </c>
      <c r="D27" t="s">
        <v>3</v>
      </c>
      <c r="E27" s="2">
        <v>216.35</v>
      </c>
      <c r="F27" t="s">
        <v>4</v>
      </c>
      <c r="G27" t="s">
        <v>0</v>
      </c>
      <c r="H27" t="s">
        <v>81</v>
      </c>
      <c r="I27" t="s">
        <v>0</v>
      </c>
      <c r="J27" t="s">
        <v>74</v>
      </c>
      <c r="K27" t="s">
        <v>6</v>
      </c>
      <c r="L27" t="s">
        <v>74</v>
      </c>
    </row>
    <row r="28" spans="1:12" ht="14.1" customHeight="1" x14ac:dyDescent="0.2">
      <c r="A28" s="5" t="s">
        <v>85</v>
      </c>
      <c r="B28" t="s">
        <v>1</v>
      </c>
      <c r="C28" t="s">
        <v>80</v>
      </c>
      <c r="D28" t="s">
        <v>3</v>
      </c>
      <c r="E28" s="2">
        <v>466.51</v>
      </c>
      <c r="F28" t="s">
        <v>4</v>
      </c>
      <c r="G28" t="s">
        <v>0</v>
      </c>
      <c r="H28" t="s">
        <v>81</v>
      </c>
      <c r="I28" t="s">
        <v>0</v>
      </c>
      <c r="J28" t="s">
        <v>74</v>
      </c>
      <c r="K28" t="s">
        <v>6</v>
      </c>
      <c r="L28" t="s">
        <v>74</v>
      </c>
    </row>
    <row r="29" spans="1:12" ht="14.1" customHeight="1" x14ac:dyDescent="0.2">
      <c r="A29" s="5" t="s">
        <v>85</v>
      </c>
      <c r="B29" t="s">
        <v>1</v>
      </c>
      <c r="C29" t="s">
        <v>80</v>
      </c>
      <c r="D29" t="s">
        <v>3</v>
      </c>
      <c r="E29" s="2">
        <v>505.37</v>
      </c>
      <c r="F29" t="s">
        <v>4</v>
      </c>
      <c r="G29" t="s">
        <v>0</v>
      </c>
      <c r="H29" t="s">
        <v>81</v>
      </c>
      <c r="I29" t="s">
        <v>0</v>
      </c>
      <c r="J29" t="s">
        <v>74</v>
      </c>
      <c r="K29" t="s">
        <v>6</v>
      </c>
      <c r="L29" t="s">
        <v>74</v>
      </c>
    </row>
    <row r="30" spans="1:12" ht="14.1" customHeight="1" x14ac:dyDescent="0.2">
      <c r="A30" s="5" t="s">
        <v>85</v>
      </c>
      <c r="B30" t="s">
        <v>1</v>
      </c>
      <c r="C30" t="s">
        <v>80</v>
      </c>
      <c r="D30" t="s">
        <v>3</v>
      </c>
      <c r="E30" s="2">
        <v>133946.1</v>
      </c>
      <c r="F30" t="s">
        <v>4</v>
      </c>
      <c r="G30" t="s">
        <v>0</v>
      </c>
      <c r="H30" t="s">
        <v>81</v>
      </c>
      <c r="I30" t="s">
        <v>0</v>
      </c>
      <c r="J30" t="s">
        <v>74</v>
      </c>
      <c r="K30" t="s">
        <v>6</v>
      </c>
      <c r="L30" t="s">
        <v>74</v>
      </c>
    </row>
    <row r="31" spans="1:12" ht="14.1" customHeight="1" x14ac:dyDescent="0.2">
      <c r="A31" s="5" t="s">
        <v>85</v>
      </c>
      <c r="B31" t="s">
        <v>1</v>
      </c>
      <c r="C31" t="s">
        <v>80</v>
      </c>
      <c r="D31" t="s">
        <v>3</v>
      </c>
      <c r="E31" s="2">
        <v>735193.38</v>
      </c>
      <c r="F31" t="s">
        <v>4</v>
      </c>
      <c r="G31" t="s">
        <v>0</v>
      </c>
      <c r="H31" t="s">
        <v>81</v>
      </c>
      <c r="I31" t="s">
        <v>0</v>
      </c>
      <c r="J31" t="s">
        <v>76</v>
      </c>
      <c r="K31" t="s">
        <v>6</v>
      </c>
      <c r="L31" t="s">
        <v>76</v>
      </c>
    </row>
    <row r="32" spans="1:12" ht="14.1" customHeight="1" x14ac:dyDescent="0.2">
      <c r="A32" s="5" t="s">
        <v>85</v>
      </c>
      <c r="B32" t="s">
        <v>1</v>
      </c>
      <c r="C32" t="s">
        <v>80</v>
      </c>
      <c r="D32" t="s">
        <v>3</v>
      </c>
      <c r="E32" s="2">
        <v>446727.83</v>
      </c>
      <c r="F32" t="s">
        <v>4</v>
      </c>
      <c r="G32" t="s">
        <v>0</v>
      </c>
      <c r="H32" t="s">
        <v>81</v>
      </c>
      <c r="I32" t="s">
        <v>0</v>
      </c>
      <c r="J32" t="s">
        <v>76</v>
      </c>
      <c r="K32" t="s">
        <v>6</v>
      </c>
      <c r="L32" t="s">
        <v>76</v>
      </c>
    </row>
    <row r="33" spans="1:12" ht="14.1" customHeight="1" x14ac:dyDescent="0.2">
      <c r="A33" s="5" t="s">
        <v>85</v>
      </c>
      <c r="B33" t="s">
        <v>1</v>
      </c>
      <c r="C33" t="s">
        <v>80</v>
      </c>
      <c r="D33" t="s">
        <v>3</v>
      </c>
      <c r="E33" s="2">
        <v>10921.27</v>
      </c>
      <c r="F33" t="s">
        <v>4</v>
      </c>
      <c r="G33" t="s">
        <v>0</v>
      </c>
      <c r="H33" t="s">
        <v>81</v>
      </c>
      <c r="I33" t="s">
        <v>0</v>
      </c>
      <c r="J33" t="s">
        <v>76</v>
      </c>
      <c r="K33" t="s">
        <v>6</v>
      </c>
      <c r="L33" t="s">
        <v>76</v>
      </c>
    </row>
    <row r="34" spans="1:12" ht="14.1" customHeight="1" x14ac:dyDescent="0.2">
      <c r="A34" s="5" t="s">
        <v>85</v>
      </c>
      <c r="B34" t="s">
        <v>1</v>
      </c>
      <c r="C34" t="s">
        <v>80</v>
      </c>
      <c r="D34" t="s">
        <v>3</v>
      </c>
      <c r="E34" s="2">
        <v>333557.71999999997</v>
      </c>
      <c r="F34" t="s">
        <v>4</v>
      </c>
      <c r="G34" t="s">
        <v>0</v>
      </c>
      <c r="H34" t="s">
        <v>81</v>
      </c>
      <c r="I34" t="s">
        <v>0</v>
      </c>
      <c r="J34" t="s">
        <v>76</v>
      </c>
      <c r="K34" t="s">
        <v>6</v>
      </c>
      <c r="L34" t="s">
        <v>76</v>
      </c>
    </row>
    <row r="35" spans="1:12" ht="14.1" customHeight="1" x14ac:dyDescent="0.2">
      <c r="A35" s="5" t="s">
        <v>85</v>
      </c>
      <c r="B35" t="s">
        <v>1</v>
      </c>
      <c r="C35" t="s">
        <v>80</v>
      </c>
      <c r="D35" t="s">
        <v>3</v>
      </c>
      <c r="E35" s="2">
        <v>63698.63</v>
      </c>
      <c r="F35" t="s">
        <v>4</v>
      </c>
      <c r="G35" t="s">
        <v>0</v>
      </c>
      <c r="H35" t="s">
        <v>81</v>
      </c>
      <c r="I35" t="s">
        <v>0</v>
      </c>
      <c r="J35" t="s">
        <v>76</v>
      </c>
      <c r="K35" t="s">
        <v>6</v>
      </c>
      <c r="L35" t="s">
        <v>76</v>
      </c>
    </row>
    <row r="36" spans="1:12" ht="14.1" customHeight="1" x14ac:dyDescent="0.2">
      <c r="A36" s="5" t="s">
        <v>85</v>
      </c>
      <c r="B36" t="s">
        <v>1</v>
      </c>
      <c r="C36" t="s">
        <v>80</v>
      </c>
      <c r="D36" t="s">
        <v>3</v>
      </c>
      <c r="E36" s="2">
        <v>136569.85999999999</v>
      </c>
      <c r="F36" t="s">
        <v>4</v>
      </c>
      <c r="G36" t="s">
        <v>0</v>
      </c>
      <c r="H36" t="s">
        <v>81</v>
      </c>
      <c r="I36" t="s">
        <v>0</v>
      </c>
      <c r="J36" t="s">
        <v>76</v>
      </c>
      <c r="K36" t="s">
        <v>6</v>
      </c>
      <c r="L36" t="s">
        <v>76</v>
      </c>
    </row>
    <row r="37" spans="1:12" ht="14.1" customHeight="1" x14ac:dyDescent="0.2">
      <c r="A37" s="5" t="s">
        <v>85</v>
      </c>
      <c r="B37" t="s">
        <v>1</v>
      </c>
      <c r="C37" t="s">
        <v>80</v>
      </c>
      <c r="D37" t="s">
        <v>3</v>
      </c>
      <c r="E37" s="2">
        <v>721960.27</v>
      </c>
      <c r="F37" t="s">
        <v>4</v>
      </c>
      <c r="G37" t="s">
        <v>0</v>
      </c>
      <c r="H37" t="s">
        <v>81</v>
      </c>
      <c r="I37" t="s">
        <v>0</v>
      </c>
      <c r="J37" t="s">
        <v>76</v>
      </c>
      <c r="K37" t="s">
        <v>6</v>
      </c>
      <c r="L37" t="s">
        <v>76</v>
      </c>
    </row>
    <row r="38" spans="1:12" ht="14.1" customHeight="1" x14ac:dyDescent="0.2">
      <c r="A38" s="5" t="s">
        <v>85</v>
      </c>
      <c r="B38" t="s">
        <v>1</v>
      </c>
      <c r="C38" t="s">
        <v>80</v>
      </c>
      <c r="D38" t="s">
        <v>3</v>
      </c>
      <c r="E38" s="2">
        <v>85282.79</v>
      </c>
      <c r="F38" t="s">
        <v>4</v>
      </c>
      <c r="G38" t="s">
        <v>0</v>
      </c>
      <c r="H38" t="s">
        <v>81</v>
      </c>
      <c r="I38" t="s">
        <v>0</v>
      </c>
      <c r="J38" t="s">
        <v>76</v>
      </c>
      <c r="K38" t="s">
        <v>6</v>
      </c>
      <c r="L38" t="s">
        <v>76</v>
      </c>
    </row>
    <row r="39" spans="1:12" ht="14.1" customHeight="1" x14ac:dyDescent="0.2">
      <c r="A39" s="5" t="s">
        <v>85</v>
      </c>
      <c r="B39" t="s">
        <v>1</v>
      </c>
      <c r="C39" t="s">
        <v>80</v>
      </c>
      <c r="D39" t="s">
        <v>3</v>
      </c>
      <c r="E39" s="2">
        <v>16244.34</v>
      </c>
      <c r="F39" t="s">
        <v>4</v>
      </c>
      <c r="G39" t="s">
        <v>0</v>
      </c>
      <c r="H39" t="s">
        <v>81</v>
      </c>
      <c r="I39" t="s">
        <v>0</v>
      </c>
      <c r="J39" t="s">
        <v>76</v>
      </c>
      <c r="K39" t="s">
        <v>6</v>
      </c>
      <c r="L39" t="s">
        <v>76</v>
      </c>
    </row>
    <row r="40" spans="1:12" ht="14.1" customHeight="1" x14ac:dyDescent="0.2">
      <c r="A40" s="5" t="s">
        <v>85</v>
      </c>
      <c r="B40" t="s">
        <v>1</v>
      </c>
      <c r="C40" t="s">
        <v>80</v>
      </c>
      <c r="D40" t="s">
        <v>3</v>
      </c>
      <c r="E40" s="2">
        <v>2709267.65</v>
      </c>
      <c r="F40" t="s">
        <v>4</v>
      </c>
      <c r="G40" t="s">
        <v>0</v>
      </c>
      <c r="H40" t="s">
        <v>81</v>
      </c>
      <c r="I40" t="s">
        <v>0</v>
      </c>
      <c r="J40" t="s">
        <v>76</v>
      </c>
      <c r="K40" t="s">
        <v>6</v>
      </c>
      <c r="L40" t="s">
        <v>76</v>
      </c>
    </row>
    <row r="41" spans="1:12" ht="14.1" customHeight="1" x14ac:dyDescent="0.2">
      <c r="A41" s="5" t="s">
        <v>85</v>
      </c>
      <c r="B41" t="s">
        <v>1</v>
      </c>
      <c r="C41" t="s">
        <v>80</v>
      </c>
      <c r="D41" t="s">
        <v>3</v>
      </c>
      <c r="E41" s="2">
        <v>4044.7</v>
      </c>
      <c r="F41" t="s">
        <v>4</v>
      </c>
      <c r="G41" t="s">
        <v>0</v>
      </c>
      <c r="H41" t="s">
        <v>81</v>
      </c>
      <c r="I41" t="s">
        <v>0</v>
      </c>
      <c r="J41" t="s">
        <v>74</v>
      </c>
      <c r="K41" t="s">
        <v>6</v>
      </c>
      <c r="L41" t="s">
        <v>74</v>
      </c>
    </row>
    <row r="42" spans="1:12" ht="14.1" customHeight="1" x14ac:dyDescent="0.2">
      <c r="A42" s="5" t="s">
        <v>85</v>
      </c>
      <c r="B42" t="s">
        <v>1</v>
      </c>
      <c r="C42" t="s">
        <v>80</v>
      </c>
      <c r="D42" t="s">
        <v>3</v>
      </c>
      <c r="E42" s="2">
        <v>820.26</v>
      </c>
      <c r="F42" t="s">
        <v>4</v>
      </c>
      <c r="G42" t="s">
        <v>0</v>
      </c>
      <c r="H42" t="s">
        <v>81</v>
      </c>
      <c r="I42" t="s">
        <v>0</v>
      </c>
      <c r="J42" t="s">
        <v>74</v>
      </c>
      <c r="K42" t="s">
        <v>6</v>
      </c>
      <c r="L42" t="s">
        <v>74</v>
      </c>
    </row>
    <row r="43" spans="1:12" ht="14.1" customHeight="1" x14ac:dyDescent="0.2">
      <c r="A43" s="5" t="s">
        <v>85</v>
      </c>
      <c r="B43" t="s">
        <v>1</v>
      </c>
      <c r="C43" t="s">
        <v>80</v>
      </c>
      <c r="D43" t="s">
        <v>3</v>
      </c>
      <c r="E43" s="2">
        <v>820.26</v>
      </c>
      <c r="F43" t="s">
        <v>4</v>
      </c>
      <c r="G43" t="s">
        <v>0</v>
      </c>
      <c r="H43" t="s">
        <v>81</v>
      </c>
      <c r="I43" t="s">
        <v>0</v>
      </c>
      <c r="J43" t="s">
        <v>74</v>
      </c>
      <c r="K43" t="s">
        <v>6</v>
      </c>
      <c r="L43" t="s">
        <v>74</v>
      </c>
    </row>
    <row r="44" spans="1:12" ht="14.1" customHeight="1" x14ac:dyDescent="0.2">
      <c r="A44" s="5" t="s">
        <v>85</v>
      </c>
      <c r="B44" t="s">
        <v>1</v>
      </c>
      <c r="C44" t="s">
        <v>80</v>
      </c>
      <c r="D44" t="s">
        <v>3</v>
      </c>
      <c r="E44" s="2">
        <v>598220.80000000005</v>
      </c>
      <c r="F44" t="s">
        <v>4</v>
      </c>
      <c r="G44" t="s">
        <v>0</v>
      </c>
      <c r="H44" t="s">
        <v>81</v>
      </c>
      <c r="I44" t="s">
        <v>0</v>
      </c>
      <c r="J44" t="s">
        <v>74</v>
      </c>
      <c r="K44" t="s">
        <v>6</v>
      </c>
      <c r="L44" t="s">
        <v>74</v>
      </c>
    </row>
    <row r="45" spans="1:12" ht="14.1" customHeight="1" x14ac:dyDescent="0.2">
      <c r="A45" s="5" t="s">
        <v>85</v>
      </c>
      <c r="B45" t="s">
        <v>1</v>
      </c>
      <c r="C45" t="s">
        <v>80</v>
      </c>
      <c r="D45" t="s">
        <v>3</v>
      </c>
      <c r="E45" s="2">
        <v>253520.54</v>
      </c>
      <c r="F45" t="s">
        <v>4</v>
      </c>
      <c r="G45" t="s">
        <v>0</v>
      </c>
      <c r="H45" t="s">
        <v>81</v>
      </c>
      <c r="I45" t="s">
        <v>0</v>
      </c>
      <c r="J45" t="s">
        <v>76</v>
      </c>
      <c r="K45" t="s">
        <v>6</v>
      </c>
      <c r="L45" t="s">
        <v>76</v>
      </c>
    </row>
    <row r="46" spans="1:12" ht="14.1" customHeight="1" x14ac:dyDescent="0.2">
      <c r="A46" s="5" t="s">
        <v>85</v>
      </c>
      <c r="B46" t="s">
        <v>1</v>
      </c>
      <c r="C46" t="s">
        <v>80</v>
      </c>
      <c r="D46" t="s">
        <v>3</v>
      </c>
      <c r="E46" s="2">
        <v>203513.87</v>
      </c>
      <c r="F46" t="s">
        <v>4</v>
      </c>
      <c r="G46" t="s">
        <v>0</v>
      </c>
      <c r="H46" t="s">
        <v>81</v>
      </c>
      <c r="I46" t="s">
        <v>0</v>
      </c>
      <c r="J46" t="s">
        <v>74</v>
      </c>
      <c r="K46" t="s">
        <v>6</v>
      </c>
      <c r="L46" t="s">
        <v>74</v>
      </c>
    </row>
    <row r="47" spans="1:12" ht="14.1" customHeight="1" x14ac:dyDescent="0.2">
      <c r="A47" s="5" t="s">
        <v>85</v>
      </c>
      <c r="B47" t="s">
        <v>1</v>
      </c>
      <c r="C47" t="s">
        <v>80</v>
      </c>
      <c r="D47" t="s">
        <v>3</v>
      </c>
      <c r="E47" s="2">
        <v>294972.43</v>
      </c>
      <c r="F47" t="s">
        <v>4</v>
      </c>
      <c r="G47" t="s">
        <v>0</v>
      </c>
      <c r="H47" t="s">
        <v>81</v>
      </c>
      <c r="I47" t="s">
        <v>0</v>
      </c>
      <c r="J47" t="s">
        <v>74</v>
      </c>
      <c r="K47" t="s">
        <v>6</v>
      </c>
      <c r="L47" t="s">
        <v>74</v>
      </c>
    </row>
    <row r="48" spans="1:12" ht="14.1" customHeight="1" x14ac:dyDescent="0.2">
      <c r="A48" s="5" t="s">
        <v>85</v>
      </c>
      <c r="B48" t="s">
        <v>1</v>
      </c>
      <c r="C48" t="s">
        <v>80</v>
      </c>
      <c r="D48" t="s">
        <v>3</v>
      </c>
      <c r="E48" s="2">
        <v>380532.24</v>
      </c>
      <c r="F48" t="s">
        <v>4</v>
      </c>
      <c r="G48" t="s">
        <v>0</v>
      </c>
      <c r="H48" t="s">
        <v>81</v>
      </c>
      <c r="I48" t="s">
        <v>0</v>
      </c>
      <c r="J48" t="s">
        <v>74</v>
      </c>
      <c r="K48" t="s">
        <v>6</v>
      </c>
      <c r="L48" t="s">
        <v>74</v>
      </c>
    </row>
    <row r="49" spans="1:12" ht="14.1" customHeight="1" x14ac:dyDescent="0.2">
      <c r="A49" s="5" t="s">
        <v>85</v>
      </c>
      <c r="B49" t="s">
        <v>1</v>
      </c>
      <c r="C49" t="s">
        <v>80</v>
      </c>
      <c r="D49" t="s">
        <v>3</v>
      </c>
      <c r="E49" s="2">
        <v>2196.81</v>
      </c>
      <c r="F49" t="s">
        <v>4</v>
      </c>
      <c r="G49" t="s">
        <v>0</v>
      </c>
      <c r="H49" t="s">
        <v>81</v>
      </c>
      <c r="I49" t="s">
        <v>0</v>
      </c>
      <c r="J49" t="s">
        <v>74</v>
      </c>
      <c r="K49" t="s">
        <v>6</v>
      </c>
      <c r="L49" t="s">
        <v>74</v>
      </c>
    </row>
    <row r="50" spans="1:12" ht="14.1" customHeight="1" x14ac:dyDescent="0.2">
      <c r="A50" s="5" t="s">
        <v>85</v>
      </c>
      <c r="B50" t="s">
        <v>1</v>
      </c>
      <c r="C50" t="s">
        <v>80</v>
      </c>
      <c r="D50" t="s">
        <v>3</v>
      </c>
      <c r="E50" s="2">
        <v>6013.5</v>
      </c>
      <c r="F50" t="s">
        <v>4</v>
      </c>
      <c r="G50" t="s">
        <v>0</v>
      </c>
      <c r="H50" t="s">
        <v>81</v>
      </c>
      <c r="I50" t="s">
        <v>0</v>
      </c>
      <c r="J50" t="s">
        <v>74</v>
      </c>
      <c r="K50" t="s">
        <v>6</v>
      </c>
      <c r="L50" t="s">
        <v>74</v>
      </c>
    </row>
    <row r="51" spans="1:12" ht="14.1" customHeight="1" x14ac:dyDescent="0.2">
      <c r="A51" s="5" t="s">
        <v>85</v>
      </c>
      <c r="B51" t="s">
        <v>1</v>
      </c>
      <c r="C51" t="s">
        <v>80</v>
      </c>
      <c r="D51" t="s">
        <v>3</v>
      </c>
      <c r="E51" s="2">
        <v>2196.81</v>
      </c>
      <c r="F51" t="s">
        <v>4</v>
      </c>
      <c r="G51" t="s">
        <v>0</v>
      </c>
      <c r="H51" t="s">
        <v>81</v>
      </c>
      <c r="I51" t="s">
        <v>0</v>
      </c>
      <c r="J51" t="s">
        <v>74</v>
      </c>
      <c r="K51" t="s">
        <v>6</v>
      </c>
      <c r="L51" t="s">
        <v>74</v>
      </c>
    </row>
    <row r="52" spans="1:12" ht="14.1" customHeight="1" x14ac:dyDescent="0.2">
      <c r="A52" s="5" t="s">
        <v>85</v>
      </c>
      <c r="B52" t="s">
        <v>1</v>
      </c>
      <c r="C52" t="s">
        <v>80</v>
      </c>
      <c r="D52" t="s">
        <v>3</v>
      </c>
      <c r="E52" s="2">
        <v>69011.09</v>
      </c>
      <c r="F52" t="s">
        <v>4</v>
      </c>
      <c r="G52" t="s">
        <v>0</v>
      </c>
      <c r="H52" t="s">
        <v>81</v>
      </c>
      <c r="I52" t="s">
        <v>0</v>
      </c>
      <c r="J52" t="s">
        <v>74</v>
      </c>
      <c r="K52" t="s">
        <v>6</v>
      </c>
      <c r="L52" t="s">
        <v>74</v>
      </c>
    </row>
    <row r="53" spans="1:12" ht="14.1" customHeight="1" x14ac:dyDescent="0.2">
      <c r="A53" s="5" t="s">
        <v>85</v>
      </c>
      <c r="B53" t="s">
        <v>1</v>
      </c>
      <c r="C53" t="s">
        <v>80</v>
      </c>
      <c r="D53" t="s">
        <v>3</v>
      </c>
      <c r="E53" s="2">
        <v>28092.62</v>
      </c>
      <c r="F53" t="s">
        <v>4</v>
      </c>
      <c r="G53" t="s">
        <v>0</v>
      </c>
      <c r="H53" t="s">
        <v>81</v>
      </c>
      <c r="I53" t="s">
        <v>0</v>
      </c>
      <c r="J53" t="s">
        <v>74</v>
      </c>
      <c r="K53" t="s">
        <v>6</v>
      </c>
      <c r="L53" t="s">
        <v>74</v>
      </c>
    </row>
    <row r="54" spans="1:12" ht="14.1" customHeight="1" x14ac:dyDescent="0.2">
      <c r="A54" s="5" t="s">
        <v>85</v>
      </c>
      <c r="B54" t="s">
        <v>1</v>
      </c>
      <c r="C54" t="s">
        <v>80</v>
      </c>
      <c r="D54" t="s">
        <v>3</v>
      </c>
      <c r="E54" s="2">
        <v>20547.990000000002</v>
      </c>
      <c r="F54" t="s">
        <v>4</v>
      </c>
      <c r="G54" t="s">
        <v>0</v>
      </c>
      <c r="H54" t="s">
        <v>81</v>
      </c>
      <c r="I54" t="s">
        <v>0</v>
      </c>
      <c r="J54" t="s">
        <v>74</v>
      </c>
      <c r="K54" t="s">
        <v>6</v>
      </c>
      <c r="L54" t="s">
        <v>74</v>
      </c>
    </row>
    <row r="55" spans="1:12" ht="14.1" customHeight="1" x14ac:dyDescent="0.2">
      <c r="A55" s="5" t="s">
        <v>85</v>
      </c>
      <c r="B55" t="s">
        <v>1</v>
      </c>
      <c r="C55" t="s">
        <v>80</v>
      </c>
      <c r="D55" t="s">
        <v>3</v>
      </c>
      <c r="E55" s="2">
        <v>7322.74</v>
      </c>
      <c r="F55" t="s">
        <v>4</v>
      </c>
      <c r="G55" t="s">
        <v>0</v>
      </c>
      <c r="H55" t="s">
        <v>81</v>
      </c>
      <c r="I55" t="s">
        <v>0</v>
      </c>
      <c r="J55" t="s">
        <v>74</v>
      </c>
      <c r="K55" t="s">
        <v>6</v>
      </c>
      <c r="L55" t="s">
        <v>74</v>
      </c>
    </row>
    <row r="56" spans="1:12" ht="14.1" customHeight="1" x14ac:dyDescent="0.2">
      <c r="A56" s="5" t="s">
        <v>85</v>
      </c>
      <c r="B56" t="s">
        <v>1</v>
      </c>
      <c r="C56" t="s">
        <v>80</v>
      </c>
      <c r="D56" t="s">
        <v>3</v>
      </c>
      <c r="E56" s="2">
        <v>6013.5</v>
      </c>
      <c r="F56" t="s">
        <v>4</v>
      </c>
      <c r="G56" t="s">
        <v>0</v>
      </c>
      <c r="H56" t="s">
        <v>81</v>
      </c>
      <c r="I56" t="s">
        <v>0</v>
      </c>
      <c r="J56" t="s">
        <v>74</v>
      </c>
      <c r="K56" t="s">
        <v>6</v>
      </c>
      <c r="L56" t="s">
        <v>74</v>
      </c>
    </row>
    <row r="57" spans="1:12" ht="14.1" customHeight="1" x14ac:dyDescent="0.2">
      <c r="A57" s="5" t="s">
        <v>85</v>
      </c>
      <c r="B57" t="s">
        <v>1</v>
      </c>
      <c r="C57" t="s">
        <v>80</v>
      </c>
      <c r="D57" t="s">
        <v>3</v>
      </c>
      <c r="E57" s="2">
        <v>2358.94</v>
      </c>
      <c r="F57" t="s">
        <v>4</v>
      </c>
      <c r="G57" t="s">
        <v>0</v>
      </c>
      <c r="H57" t="s">
        <v>81</v>
      </c>
      <c r="I57" t="s">
        <v>0</v>
      </c>
      <c r="J57" t="s">
        <v>74</v>
      </c>
      <c r="K57" t="s">
        <v>6</v>
      </c>
      <c r="L57" t="s">
        <v>74</v>
      </c>
    </row>
    <row r="58" spans="1:12" ht="14.1" customHeight="1" x14ac:dyDescent="0.2">
      <c r="A58" s="5" t="s">
        <v>85</v>
      </c>
      <c r="B58" t="s">
        <v>1</v>
      </c>
      <c r="C58" t="s">
        <v>80</v>
      </c>
      <c r="D58" t="s">
        <v>3</v>
      </c>
      <c r="E58" s="2">
        <v>1544.34</v>
      </c>
      <c r="F58" t="s">
        <v>4</v>
      </c>
      <c r="G58" t="s">
        <v>0</v>
      </c>
      <c r="H58" t="s">
        <v>81</v>
      </c>
      <c r="I58" t="s">
        <v>0</v>
      </c>
      <c r="J58" t="s">
        <v>74</v>
      </c>
      <c r="K58" t="s">
        <v>6</v>
      </c>
      <c r="L58" t="s">
        <v>74</v>
      </c>
    </row>
    <row r="59" spans="1:12" ht="14.1" customHeight="1" x14ac:dyDescent="0.2">
      <c r="A59" s="5" t="s">
        <v>85</v>
      </c>
      <c r="B59" t="s">
        <v>1</v>
      </c>
      <c r="C59" t="s">
        <v>80</v>
      </c>
      <c r="D59" t="s">
        <v>3</v>
      </c>
      <c r="E59" s="2">
        <v>1405.74</v>
      </c>
      <c r="F59" t="s">
        <v>4</v>
      </c>
      <c r="G59" t="s">
        <v>0</v>
      </c>
      <c r="H59" t="s">
        <v>81</v>
      </c>
      <c r="I59" t="s">
        <v>0</v>
      </c>
      <c r="J59" t="s">
        <v>74</v>
      </c>
      <c r="K59" t="s">
        <v>6</v>
      </c>
      <c r="L59" t="s">
        <v>74</v>
      </c>
    </row>
    <row r="60" spans="1:12" ht="14.1" customHeight="1" x14ac:dyDescent="0.2">
      <c r="A60" s="5" t="s">
        <v>85</v>
      </c>
      <c r="B60" t="s">
        <v>1</v>
      </c>
      <c r="C60" t="s">
        <v>80</v>
      </c>
      <c r="D60" t="s">
        <v>3</v>
      </c>
      <c r="E60" s="2">
        <v>1122.9000000000001</v>
      </c>
      <c r="F60" t="s">
        <v>4</v>
      </c>
      <c r="G60" t="s">
        <v>0</v>
      </c>
      <c r="H60" t="s">
        <v>81</v>
      </c>
      <c r="I60" t="s">
        <v>0</v>
      </c>
      <c r="J60" t="s">
        <v>74</v>
      </c>
      <c r="K60" t="s">
        <v>6</v>
      </c>
      <c r="L60" t="s">
        <v>74</v>
      </c>
    </row>
    <row r="61" spans="1:12" ht="14.1" customHeight="1" x14ac:dyDescent="0.2">
      <c r="A61" s="5" t="s">
        <v>85</v>
      </c>
      <c r="B61" t="s">
        <v>1</v>
      </c>
      <c r="C61" t="s">
        <v>80</v>
      </c>
      <c r="D61" t="s">
        <v>3</v>
      </c>
      <c r="E61" s="2">
        <v>2520.16</v>
      </c>
      <c r="F61" t="s">
        <v>4</v>
      </c>
      <c r="G61" t="s">
        <v>0</v>
      </c>
      <c r="H61" t="s">
        <v>81</v>
      </c>
      <c r="I61" t="s">
        <v>0</v>
      </c>
      <c r="J61" t="s">
        <v>74</v>
      </c>
      <c r="K61" t="s">
        <v>6</v>
      </c>
      <c r="L61" t="s">
        <v>74</v>
      </c>
    </row>
    <row r="62" spans="1:12" ht="14.1" customHeight="1" x14ac:dyDescent="0.2">
      <c r="A62" s="5" t="s">
        <v>85</v>
      </c>
      <c r="B62" t="s">
        <v>1</v>
      </c>
      <c r="C62" t="s">
        <v>80</v>
      </c>
      <c r="D62" t="s">
        <v>3</v>
      </c>
      <c r="E62" s="2">
        <v>2200.5500000000002</v>
      </c>
      <c r="F62" t="s">
        <v>4</v>
      </c>
      <c r="G62" t="s">
        <v>0</v>
      </c>
      <c r="H62" t="s">
        <v>81</v>
      </c>
      <c r="I62" t="s">
        <v>0</v>
      </c>
      <c r="J62" t="s">
        <v>74</v>
      </c>
      <c r="K62" t="s">
        <v>6</v>
      </c>
      <c r="L62" t="s">
        <v>74</v>
      </c>
    </row>
    <row r="63" spans="1:12" ht="14.1" customHeight="1" x14ac:dyDescent="0.2">
      <c r="A63" s="5" t="s">
        <v>85</v>
      </c>
      <c r="B63" t="s">
        <v>1</v>
      </c>
      <c r="C63" t="s">
        <v>80</v>
      </c>
      <c r="D63" t="s">
        <v>3</v>
      </c>
      <c r="E63" s="2">
        <v>1233.22</v>
      </c>
      <c r="F63" t="s">
        <v>4</v>
      </c>
      <c r="G63" t="s">
        <v>0</v>
      </c>
      <c r="H63" t="s">
        <v>81</v>
      </c>
      <c r="I63" t="s">
        <v>0</v>
      </c>
      <c r="J63" t="s">
        <v>74</v>
      </c>
      <c r="K63" t="s">
        <v>6</v>
      </c>
      <c r="L63" t="s">
        <v>74</v>
      </c>
    </row>
    <row r="64" spans="1:12" ht="14.1" customHeight="1" x14ac:dyDescent="0.2">
      <c r="A64" s="5" t="s">
        <v>85</v>
      </c>
      <c r="B64" t="s">
        <v>1</v>
      </c>
      <c r="C64" t="s">
        <v>80</v>
      </c>
      <c r="D64" t="s">
        <v>3</v>
      </c>
      <c r="E64" s="2">
        <v>845917.81</v>
      </c>
      <c r="F64" t="s">
        <v>4</v>
      </c>
      <c r="G64" t="s">
        <v>0</v>
      </c>
      <c r="H64" t="s">
        <v>81</v>
      </c>
      <c r="I64" t="s">
        <v>0</v>
      </c>
      <c r="J64" t="s">
        <v>76</v>
      </c>
      <c r="K64" t="s">
        <v>6</v>
      </c>
      <c r="L64" t="s">
        <v>76</v>
      </c>
    </row>
    <row r="65" spans="1:12" ht="14.1" customHeight="1" x14ac:dyDescent="0.2">
      <c r="A65" s="5" t="s">
        <v>85</v>
      </c>
      <c r="B65" t="s">
        <v>1</v>
      </c>
      <c r="C65" t="s">
        <v>80</v>
      </c>
      <c r="D65" t="s">
        <v>3</v>
      </c>
      <c r="E65" s="2">
        <v>1769.4</v>
      </c>
      <c r="F65" t="s">
        <v>4</v>
      </c>
      <c r="G65" t="s">
        <v>0</v>
      </c>
      <c r="H65" t="s">
        <v>81</v>
      </c>
      <c r="I65" t="s">
        <v>0</v>
      </c>
      <c r="J65" t="s">
        <v>76</v>
      </c>
      <c r="K65" t="s">
        <v>6</v>
      </c>
      <c r="L65" t="s">
        <v>76</v>
      </c>
    </row>
    <row r="66" spans="1:12" ht="14.1" customHeight="1" x14ac:dyDescent="0.2">
      <c r="A66" s="5" t="s">
        <v>85</v>
      </c>
      <c r="B66" t="s">
        <v>1</v>
      </c>
      <c r="C66" t="s">
        <v>80</v>
      </c>
      <c r="D66" t="s">
        <v>3</v>
      </c>
      <c r="E66" s="2">
        <v>879.53</v>
      </c>
      <c r="F66" t="s">
        <v>4</v>
      </c>
      <c r="G66" t="s">
        <v>0</v>
      </c>
      <c r="H66" t="s">
        <v>81</v>
      </c>
      <c r="I66" t="s">
        <v>0</v>
      </c>
      <c r="J66" t="s">
        <v>74</v>
      </c>
      <c r="K66" t="s">
        <v>6</v>
      </c>
      <c r="L66" t="s">
        <v>74</v>
      </c>
    </row>
    <row r="67" spans="1:12" ht="14.1" customHeight="1" x14ac:dyDescent="0.2">
      <c r="A67" s="5" t="s">
        <v>85</v>
      </c>
      <c r="B67" t="s">
        <v>1</v>
      </c>
      <c r="C67" t="s">
        <v>80</v>
      </c>
      <c r="D67" t="s">
        <v>3</v>
      </c>
      <c r="E67" s="2">
        <v>1759.07</v>
      </c>
      <c r="F67" t="s">
        <v>4</v>
      </c>
      <c r="G67" t="s">
        <v>0</v>
      </c>
      <c r="H67" t="s">
        <v>81</v>
      </c>
      <c r="I67" t="s">
        <v>0</v>
      </c>
      <c r="J67" t="s">
        <v>74</v>
      </c>
      <c r="K67" t="s">
        <v>6</v>
      </c>
      <c r="L67" t="s">
        <v>74</v>
      </c>
    </row>
    <row r="68" spans="1:12" ht="14.1" customHeight="1" x14ac:dyDescent="0.2">
      <c r="A68" s="5" t="s">
        <v>85</v>
      </c>
      <c r="B68" t="s">
        <v>1</v>
      </c>
      <c r="C68" t="s">
        <v>80</v>
      </c>
      <c r="D68" t="s">
        <v>3</v>
      </c>
      <c r="E68" s="2">
        <v>94003.6</v>
      </c>
      <c r="F68" t="s">
        <v>4</v>
      </c>
      <c r="G68" t="s">
        <v>0</v>
      </c>
      <c r="H68" t="s">
        <v>81</v>
      </c>
      <c r="I68" t="s">
        <v>0</v>
      </c>
      <c r="J68" t="s">
        <v>74</v>
      </c>
      <c r="K68" t="s">
        <v>6</v>
      </c>
      <c r="L68" t="s">
        <v>74</v>
      </c>
    </row>
    <row r="69" spans="1:12" ht="14.1" customHeight="1" x14ac:dyDescent="0.2">
      <c r="A69" s="5" t="s">
        <v>85</v>
      </c>
      <c r="B69" t="s">
        <v>1</v>
      </c>
      <c r="C69" t="s">
        <v>80</v>
      </c>
      <c r="D69" t="s">
        <v>3</v>
      </c>
      <c r="E69" s="2">
        <v>3623.27</v>
      </c>
      <c r="F69" t="s">
        <v>4</v>
      </c>
      <c r="G69" t="s">
        <v>0</v>
      </c>
      <c r="H69" t="s">
        <v>81</v>
      </c>
      <c r="I69" t="s">
        <v>0</v>
      </c>
      <c r="J69" t="s">
        <v>74</v>
      </c>
      <c r="K69" t="s">
        <v>6</v>
      </c>
      <c r="L69" t="s">
        <v>74</v>
      </c>
    </row>
    <row r="70" spans="1:12" ht="14.1" customHeight="1" x14ac:dyDescent="0.2">
      <c r="A70" s="5" t="s">
        <v>85</v>
      </c>
      <c r="B70" t="s">
        <v>1</v>
      </c>
      <c r="C70" t="s">
        <v>80</v>
      </c>
      <c r="D70" t="s">
        <v>3</v>
      </c>
      <c r="E70" s="2">
        <v>1678.42</v>
      </c>
      <c r="F70" t="s">
        <v>4</v>
      </c>
      <c r="G70" t="s">
        <v>0</v>
      </c>
      <c r="H70" t="s">
        <v>81</v>
      </c>
      <c r="I70" t="s">
        <v>0</v>
      </c>
      <c r="J70" t="s">
        <v>74</v>
      </c>
      <c r="K70" t="s">
        <v>6</v>
      </c>
      <c r="L70" t="s">
        <v>74</v>
      </c>
    </row>
    <row r="71" spans="1:12" ht="14.1" customHeight="1" x14ac:dyDescent="0.2">
      <c r="A71" s="5" t="s">
        <v>85</v>
      </c>
      <c r="B71" t="s">
        <v>1</v>
      </c>
      <c r="C71" t="s">
        <v>80</v>
      </c>
      <c r="D71" t="s">
        <v>3</v>
      </c>
      <c r="E71" s="2">
        <v>19974</v>
      </c>
      <c r="F71" t="s">
        <v>4</v>
      </c>
      <c r="G71" t="s">
        <v>0</v>
      </c>
      <c r="H71" t="s">
        <v>81</v>
      </c>
      <c r="I71" t="s">
        <v>0</v>
      </c>
      <c r="J71" t="s">
        <v>74</v>
      </c>
      <c r="K71" t="s">
        <v>6</v>
      </c>
      <c r="L71" t="s">
        <v>74</v>
      </c>
    </row>
    <row r="72" spans="1:12" ht="14.1" customHeight="1" x14ac:dyDescent="0.2">
      <c r="A72" s="5" t="s">
        <v>85</v>
      </c>
      <c r="B72" t="s">
        <v>1</v>
      </c>
      <c r="C72" t="s">
        <v>80</v>
      </c>
      <c r="D72" t="s">
        <v>3</v>
      </c>
      <c r="E72" s="2">
        <v>12484.93</v>
      </c>
      <c r="F72" t="s">
        <v>4</v>
      </c>
      <c r="G72" t="s">
        <v>0</v>
      </c>
      <c r="H72" t="s">
        <v>81</v>
      </c>
      <c r="I72" t="s">
        <v>0</v>
      </c>
      <c r="J72" t="s">
        <v>76</v>
      </c>
      <c r="K72" t="s">
        <v>6</v>
      </c>
      <c r="L72" t="s">
        <v>76</v>
      </c>
    </row>
    <row r="73" spans="1:12" ht="14.1" customHeight="1" x14ac:dyDescent="0.2">
      <c r="A73" s="5" t="s">
        <v>85</v>
      </c>
      <c r="B73" t="s">
        <v>1</v>
      </c>
      <c r="C73" t="s">
        <v>80</v>
      </c>
      <c r="D73" t="s">
        <v>3</v>
      </c>
      <c r="E73" s="2">
        <v>77690.53</v>
      </c>
      <c r="F73" t="s">
        <v>4</v>
      </c>
      <c r="G73" t="s">
        <v>0</v>
      </c>
      <c r="H73" t="s">
        <v>81</v>
      </c>
      <c r="I73" t="s">
        <v>0</v>
      </c>
      <c r="J73" t="s">
        <v>76</v>
      </c>
      <c r="K73" t="s">
        <v>6</v>
      </c>
      <c r="L73" t="s">
        <v>76</v>
      </c>
    </row>
    <row r="74" spans="1:12" ht="14.1" customHeight="1" x14ac:dyDescent="0.2">
      <c r="A74" s="5" t="s">
        <v>85</v>
      </c>
      <c r="B74" t="s">
        <v>1</v>
      </c>
      <c r="C74" t="s">
        <v>80</v>
      </c>
      <c r="D74" t="s">
        <v>3</v>
      </c>
      <c r="E74" s="2">
        <v>355500.05</v>
      </c>
      <c r="F74" t="s">
        <v>4</v>
      </c>
      <c r="G74" t="s">
        <v>0</v>
      </c>
      <c r="H74" t="s">
        <v>81</v>
      </c>
      <c r="I74" t="s">
        <v>0</v>
      </c>
      <c r="J74" t="s">
        <v>76</v>
      </c>
      <c r="K74" t="s">
        <v>6</v>
      </c>
      <c r="L74" t="s">
        <v>76</v>
      </c>
    </row>
    <row r="75" spans="1:12" ht="14.1" customHeight="1" x14ac:dyDescent="0.2">
      <c r="A75" s="5" t="s">
        <v>85</v>
      </c>
      <c r="B75" t="s">
        <v>1</v>
      </c>
      <c r="C75" t="s">
        <v>80</v>
      </c>
      <c r="D75" t="s">
        <v>3</v>
      </c>
      <c r="E75" s="2">
        <v>59320.51</v>
      </c>
      <c r="F75" t="s">
        <v>4</v>
      </c>
      <c r="G75" t="s">
        <v>0</v>
      </c>
      <c r="H75" t="s">
        <v>81</v>
      </c>
      <c r="I75" t="s">
        <v>0</v>
      </c>
      <c r="J75" t="s">
        <v>76</v>
      </c>
      <c r="K75" t="s">
        <v>6</v>
      </c>
      <c r="L75" t="s">
        <v>76</v>
      </c>
    </row>
    <row r="76" spans="1:12" ht="14.1" customHeight="1" x14ac:dyDescent="0.2">
      <c r="A76" s="5" t="s">
        <v>85</v>
      </c>
      <c r="B76" t="s">
        <v>1</v>
      </c>
      <c r="C76" t="s">
        <v>80</v>
      </c>
      <c r="D76" t="s">
        <v>3</v>
      </c>
      <c r="E76" s="2">
        <v>3592.61</v>
      </c>
      <c r="F76" t="s">
        <v>4</v>
      </c>
      <c r="G76" t="s">
        <v>0</v>
      </c>
      <c r="H76" t="s">
        <v>81</v>
      </c>
      <c r="I76" t="s">
        <v>0</v>
      </c>
      <c r="J76" t="s">
        <v>74</v>
      </c>
      <c r="K76" t="s">
        <v>6</v>
      </c>
      <c r="L76" t="s">
        <v>74</v>
      </c>
    </row>
    <row r="77" spans="1:12" ht="14.1" customHeight="1" x14ac:dyDescent="0.2">
      <c r="A77" s="5" t="s">
        <v>85</v>
      </c>
      <c r="B77" t="s">
        <v>1</v>
      </c>
      <c r="C77" t="s">
        <v>80</v>
      </c>
      <c r="D77" t="s">
        <v>3</v>
      </c>
      <c r="E77" s="2">
        <v>1691.83</v>
      </c>
      <c r="F77" t="s">
        <v>4</v>
      </c>
      <c r="G77" t="s">
        <v>0</v>
      </c>
      <c r="H77" t="s">
        <v>81</v>
      </c>
      <c r="I77" t="s">
        <v>0</v>
      </c>
      <c r="J77" t="s">
        <v>74</v>
      </c>
      <c r="K77" t="s">
        <v>6</v>
      </c>
      <c r="L77" t="s">
        <v>74</v>
      </c>
    </row>
    <row r="78" spans="1:12" ht="14.1" customHeight="1" x14ac:dyDescent="0.2">
      <c r="A78" s="5" t="s">
        <v>85</v>
      </c>
      <c r="B78" t="s">
        <v>1</v>
      </c>
      <c r="C78" t="s">
        <v>80</v>
      </c>
      <c r="D78" t="s">
        <v>3</v>
      </c>
      <c r="E78" s="2">
        <v>329.54</v>
      </c>
      <c r="F78" t="s">
        <v>4</v>
      </c>
      <c r="G78" t="s">
        <v>0</v>
      </c>
      <c r="H78" t="s">
        <v>81</v>
      </c>
      <c r="I78" t="s">
        <v>0</v>
      </c>
      <c r="J78" t="s">
        <v>74</v>
      </c>
      <c r="K78" t="s">
        <v>6</v>
      </c>
      <c r="L78" t="s">
        <v>74</v>
      </c>
    </row>
    <row r="79" spans="1:12" ht="14.1" customHeight="1" x14ac:dyDescent="0.2">
      <c r="A79" s="5" t="s">
        <v>85</v>
      </c>
      <c r="B79" t="s">
        <v>1</v>
      </c>
      <c r="C79" t="s">
        <v>80</v>
      </c>
      <c r="D79" t="s">
        <v>3</v>
      </c>
      <c r="E79" s="2">
        <v>29093.79</v>
      </c>
      <c r="F79" t="s">
        <v>4</v>
      </c>
      <c r="G79" t="s">
        <v>0</v>
      </c>
      <c r="H79" t="s">
        <v>81</v>
      </c>
      <c r="I79" t="s">
        <v>0</v>
      </c>
      <c r="J79" t="s">
        <v>74</v>
      </c>
      <c r="K79" t="s">
        <v>6</v>
      </c>
      <c r="L79" t="s">
        <v>74</v>
      </c>
    </row>
    <row r="80" spans="1:12" ht="14.1" customHeight="1" x14ac:dyDescent="0.2">
      <c r="A80" s="5" t="s">
        <v>85</v>
      </c>
      <c r="B80" t="s">
        <v>1</v>
      </c>
      <c r="C80" t="s">
        <v>80</v>
      </c>
      <c r="D80" t="s">
        <v>3</v>
      </c>
      <c r="E80" s="2">
        <v>124754.19</v>
      </c>
      <c r="F80" t="s">
        <v>4</v>
      </c>
      <c r="G80" t="s">
        <v>0</v>
      </c>
      <c r="H80" t="s">
        <v>81</v>
      </c>
      <c r="I80" t="s">
        <v>0</v>
      </c>
      <c r="J80" t="s">
        <v>74</v>
      </c>
      <c r="K80" t="s">
        <v>6</v>
      </c>
      <c r="L80" t="s">
        <v>74</v>
      </c>
    </row>
    <row r="81" spans="1:12" ht="14.1" customHeight="1" x14ac:dyDescent="0.2">
      <c r="A81" s="5" t="s">
        <v>85</v>
      </c>
      <c r="B81" t="s">
        <v>1</v>
      </c>
      <c r="C81" t="s">
        <v>80</v>
      </c>
      <c r="D81" t="s">
        <v>3</v>
      </c>
      <c r="E81" s="2">
        <v>16825.98</v>
      </c>
      <c r="F81" t="s">
        <v>4</v>
      </c>
      <c r="G81" t="s">
        <v>0</v>
      </c>
      <c r="H81" t="s">
        <v>81</v>
      </c>
      <c r="I81" t="s">
        <v>0</v>
      </c>
      <c r="J81" t="s">
        <v>74</v>
      </c>
      <c r="K81" t="s">
        <v>6</v>
      </c>
      <c r="L81" t="s">
        <v>74</v>
      </c>
    </row>
    <row r="82" spans="1:12" ht="14.1" customHeight="1" x14ac:dyDescent="0.2">
      <c r="A82" s="5" t="s">
        <v>85</v>
      </c>
      <c r="B82" t="s">
        <v>1</v>
      </c>
      <c r="C82" t="s">
        <v>80</v>
      </c>
      <c r="D82" t="s">
        <v>3</v>
      </c>
      <c r="E82" s="2">
        <v>205056.79</v>
      </c>
      <c r="F82" t="s">
        <v>4</v>
      </c>
      <c r="G82" t="s">
        <v>0</v>
      </c>
      <c r="H82" t="s">
        <v>81</v>
      </c>
      <c r="I82" t="s">
        <v>0</v>
      </c>
      <c r="J82" t="s">
        <v>74</v>
      </c>
      <c r="K82" t="s">
        <v>6</v>
      </c>
      <c r="L82" t="s">
        <v>74</v>
      </c>
    </row>
    <row r="83" spans="1:12" ht="14.1" customHeight="1" x14ac:dyDescent="0.2">
      <c r="A83" s="5" t="s">
        <v>85</v>
      </c>
      <c r="B83" t="s">
        <v>1</v>
      </c>
      <c r="C83" t="s">
        <v>80</v>
      </c>
      <c r="D83" t="s">
        <v>3</v>
      </c>
      <c r="E83" s="2">
        <v>25464.61</v>
      </c>
      <c r="F83" t="s">
        <v>4</v>
      </c>
      <c r="G83" t="s">
        <v>0</v>
      </c>
      <c r="H83" t="s">
        <v>81</v>
      </c>
      <c r="I83" t="s">
        <v>0</v>
      </c>
      <c r="J83" t="s">
        <v>74</v>
      </c>
      <c r="K83" t="s">
        <v>6</v>
      </c>
      <c r="L83" t="s">
        <v>74</v>
      </c>
    </row>
    <row r="84" spans="1:12" ht="14.1" customHeight="1" x14ac:dyDescent="0.2">
      <c r="A84" s="5" t="s">
        <v>85</v>
      </c>
      <c r="B84" t="s">
        <v>1</v>
      </c>
      <c r="C84" t="s">
        <v>80</v>
      </c>
      <c r="D84" t="s">
        <v>3</v>
      </c>
      <c r="E84" s="2">
        <v>70217.039999999994</v>
      </c>
      <c r="F84" t="s">
        <v>4</v>
      </c>
      <c r="G84" t="s">
        <v>0</v>
      </c>
      <c r="H84" t="s">
        <v>81</v>
      </c>
      <c r="I84" t="s">
        <v>0</v>
      </c>
      <c r="J84" t="s">
        <v>74</v>
      </c>
      <c r="K84" t="s">
        <v>6</v>
      </c>
      <c r="L84" t="s">
        <v>74</v>
      </c>
    </row>
    <row r="85" spans="1:12" ht="14.1" customHeight="1" x14ac:dyDescent="0.2">
      <c r="A85" s="5" t="s">
        <v>85</v>
      </c>
      <c r="B85" t="s">
        <v>1</v>
      </c>
      <c r="C85" t="s">
        <v>80</v>
      </c>
      <c r="D85" t="s">
        <v>3</v>
      </c>
      <c r="E85" s="2">
        <v>3463065.2</v>
      </c>
      <c r="F85" t="s">
        <v>4</v>
      </c>
      <c r="G85" t="s">
        <v>0</v>
      </c>
      <c r="H85" t="s">
        <v>81</v>
      </c>
      <c r="I85" t="s">
        <v>0</v>
      </c>
      <c r="J85" t="s">
        <v>74</v>
      </c>
      <c r="K85" t="s">
        <v>6</v>
      </c>
      <c r="L85" t="s">
        <v>74</v>
      </c>
    </row>
    <row r="86" spans="1:12" ht="14.1" customHeight="1" x14ac:dyDescent="0.2">
      <c r="A86" s="5" t="s">
        <v>85</v>
      </c>
      <c r="B86" t="s">
        <v>1</v>
      </c>
      <c r="C86" t="s">
        <v>80</v>
      </c>
      <c r="D86" t="s">
        <v>3</v>
      </c>
      <c r="E86" s="2">
        <v>3173764.71</v>
      </c>
      <c r="F86" t="s">
        <v>4</v>
      </c>
      <c r="G86" t="s">
        <v>0</v>
      </c>
      <c r="H86" t="s">
        <v>81</v>
      </c>
      <c r="I86" t="s">
        <v>0</v>
      </c>
      <c r="J86" t="s">
        <v>74</v>
      </c>
      <c r="K86" t="s">
        <v>6</v>
      </c>
      <c r="L86" t="s">
        <v>74</v>
      </c>
    </row>
    <row r="87" spans="1:12" ht="14.1" customHeight="1" x14ac:dyDescent="0.2">
      <c r="A87" s="5" t="s">
        <v>85</v>
      </c>
      <c r="B87" t="s">
        <v>1</v>
      </c>
      <c r="C87" t="s">
        <v>80</v>
      </c>
      <c r="D87" t="s">
        <v>3</v>
      </c>
      <c r="E87" s="2">
        <v>58828.57</v>
      </c>
      <c r="F87" t="s">
        <v>4</v>
      </c>
      <c r="G87" t="s">
        <v>0</v>
      </c>
      <c r="H87" t="s">
        <v>81</v>
      </c>
      <c r="I87" t="s">
        <v>0</v>
      </c>
      <c r="J87" t="s">
        <v>74</v>
      </c>
      <c r="K87" t="s">
        <v>6</v>
      </c>
      <c r="L87" t="s">
        <v>74</v>
      </c>
    </row>
    <row r="88" spans="1:12" ht="14.1" customHeight="1" x14ac:dyDescent="0.2">
      <c r="A88" s="5" t="s">
        <v>85</v>
      </c>
      <c r="B88" t="s">
        <v>1</v>
      </c>
      <c r="C88" t="s">
        <v>80</v>
      </c>
      <c r="D88" t="s">
        <v>3</v>
      </c>
      <c r="E88" s="2">
        <v>157108</v>
      </c>
      <c r="F88" t="s">
        <v>4</v>
      </c>
      <c r="G88" t="s">
        <v>0</v>
      </c>
      <c r="H88" t="s">
        <v>81</v>
      </c>
      <c r="I88" t="s">
        <v>0</v>
      </c>
      <c r="J88" t="s">
        <v>74</v>
      </c>
      <c r="K88" t="s">
        <v>6</v>
      </c>
      <c r="L88" t="s">
        <v>74</v>
      </c>
    </row>
    <row r="89" spans="1:12" ht="14.1" customHeight="1" x14ac:dyDescent="0.2">
      <c r="A89" s="5" t="s">
        <v>85</v>
      </c>
      <c r="B89" t="s">
        <v>1</v>
      </c>
      <c r="C89" t="s">
        <v>80</v>
      </c>
      <c r="D89" t="s">
        <v>3</v>
      </c>
      <c r="E89" s="2">
        <v>15145.97</v>
      </c>
      <c r="F89" t="s">
        <v>4</v>
      </c>
      <c r="G89" t="s">
        <v>0</v>
      </c>
      <c r="H89" t="s">
        <v>81</v>
      </c>
      <c r="I89" t="s">
        <v>0</v>
      </c>
      <c r="J89" t="s">
        <v>74</v>
      </c>
      <c r="K89" t="s">
        <v>6</v>
      </c>
      <c r="L89" t="s">
        <v>74</v>
      </c>
    </row>
    <row r="90" spans="1:12" ht="14.1" customHeight="1" x14ac:dyDescent="0.2">
      <c r="A90" s="5" t="s">
        <v>85</v>
      </c>
      <c r="B90" t="s">
        <v>1</v>
      </c>
      <c r="C90" t="s">
        <v>80</v>
      </c>
      <c r="D90" t="s">
        <v>3</v>
      </c>
      <c r="E90" s="2">
        <v>11334.87</v>
      </c>
      <c r="F90" t="s">
        <v>4</v>
      </c>
      <c r="G90" t="s">
        <v>0</v>
      </c>
      <c r="H90" t="s">
        <v>81</v>
      </c>
      <c r="I90" t="s">
        <v>0</v>
      </c>
      <c r="J90" t="s">
        <v>74</v>
      </c>
      <c r="K90" t="s">
        <v>6</v>
      </c>
      <c r="L90" t="s">
        <v>74</v>
      </c>
    </row>
    <row r="91" spans="1:12" ht="14.1" customHeight="1" x14ac:dyDescent="0.2">
      <c r="A91" s="5" t="s">
        <v>85</v>
      </c>
      <c r="B91" t="s">
        <v>1</v>
      </c>
      <c r="C91" t="s">
        <v>80</v>
      </c>
      <c r="D91" t="s">
        <v>3</v>
      </c>
      <c r="E91" s="2">
        <v>26070.21</v>
      </c>
      <c r="F91" t="s">
        <v>4</v>
      </c>
      <c r="G91" t="s">
        <v>0</v>
      </c>
      <c r="H91" t="s">
        <v>81</v>
      </c>
      <c r="I91" t="s">
        <v>0</v>
      </c>
      <c r="J91" t="s">
        <v>74</v>
      </c>
      <c r="K91" t="s">
        <v>6</v>
      </c>
      <c r="L91" t="s">
        <v>74</v>
      </c>
    </row>
    <row r="92" spans="1:12" ht="14.1" customHeight="1" x14ac:dyDescent="0.2">
      <c r="A92" s="5" t="s">
        <v>85</v>
      </c>
      <c r="B92" t="s">
        <v>1</v>
      </c>
      <c r="C92" t="s">
        <v>80</v>
      </c>
      <c r="D92" t="s">
        <v>3</v>
      </c>
      <c r="E92" s="2">
        <v>4034.99</v>
      </c>
      <c r="F92" t="s">
        <v>4</v>
      </c>
      <c r="G92" t="s">
        <v>0</v>
      </c>
      <c r="H92" t="s">
        <v>81</v>
      </c>
      <c r="I92" t="s">
        <v>0</v>
      </c>
      <c r="J92" t="s">
        <v>74</v>
      </c>
      <c r="K92" t="s">
        <v>6</v>
      </c>
      <c r="L92" t="s">
        <v>74</v>
      </c>
    </row>
    <row r="93" spans="1:12" ht="14.1" customHeight="1" x14ac:dyDescent="0.2">
      <c r="A93" s="5" t="s">
        <v>85</v>
      </c>
      <c r="B93" t="s">
        <v>1</v>
      </c>
      <c r="C93" t="s">
        <v>80</v>
      </c>
      <c r="D93" t="s">
        <v>3</v>
      </c>
      <c r="E93" s="2">
        <v>2581.06</v>
      </c>
      <c r="F93" t="s">
        <v>4</v>
      </c>
      <c r="G93" t="s">
        <v>0</v>
      </c>
      <c r="H93" t="s">
        <v>81</v>
      </c>
      <c r="I93" t="s">
        <v>0</v>
      </c>
      <c r="J93" t="s">
        <v>74</v>
      </c>
      <c r="K93" t="s">
        <v>6</v>
      </c>
      <c r="L93" t="s">
        <v>74</v>
      </c>
    </row>
    <row r="94" spans="1:12" ht="14.1" customHeight="1" x14ac:dyDescent="0.2">
      <c r="A94" s="5" t="s">
        <v>85</v>
      </c>
      <c r="B94" t="s">
        <v>1</v>
      </c>
      <c r="C94" t="s">
        <v>80</v>
      </c>
      <c r="D94" t="s">
        <v>3</v>
      </c>
      <c r="E94" s="2">
        <v>2868.8</v>
      </c>
      <c r="F94" t="s">
        <v>4</v>
      </c>
      <c r="G94" t="s">
        <v>0</v>
      </c>
      <c r="H94" t="s">
        <v>81</v>
      </c>
      <c r="I94" t="s">
        <v>0</v>
      </c>
      <c r="J94" t="s">
        <v>74</v>
      </c>
      <c r="K94" t="s">
        <v>6</v>
      </c>
      <c r="L94" t="s">
        <v>74</v>
      </c>
    </row>
    <row r="95" spans="1:12" ht="14.1" customHeight="1" x14ac:dyDescent="0.2">
      <c r="A95" s="5" t="s">
        <v>85</v>
      </c>
      <c r="B95" t="s">
        <v>1</v>
      </c>
      <c r="C95" t="s">
        <v>80</v>
      </c>
      <c r="D95" t="s">
        <v>3</v>
      </c>
      <c r="E95" s="2">
        <v>4099.0600000000004</v>
      </c>
      <c r="F95" t="s">
        <v>4</v>
      </c>
      <c r="G95" t="s">
        <v>0</v>
      </c>
      <c r="H95" t="s">
        <v>81</v>
      </c>
      <c r="I95" t="s">
        <v>0</v>
      </c>
      <c r="J95" t="s">
        <v>74</v>
      </c>
      <c r="K95" t="s">
        <v>6</v>
      </c>
      <c r="L95" t="s">
        <v>74</v>
      </c>
    </row>
    <row r="96" spans="1:12" ht="14.1" customHeight="1" x14ac:dyDescent="0.2">
      <c r="A96" s="5" t="s">
        <v>85</v>
      </c>
      <c r="B96" t="s">
        <v>1</v>
      </c>
      <c r="C96" t="s">
        <v>80</v>
      </c>
      <c r="D96" t="s">
        <v>3</v>
      </c>
      <c r="E96" s="2">
        <v>1754.35</v>
      </c>
      <c r="F96" t="s">
        <v>4</v>
      </c>
      <c r="G96" t="s">
        <v>0</v>
      </c>
      <c r="H96" t="s">
        <v>81</v>
      </c>
      <c r="I96" t="s">
        <v>0</v>
      </c>
      <c r="J96" t="s">
        <v>74</v>
      </c>
      <c r="K96" t="s">
        <v>6</v>
      </c>
      <c r="L96" t="s">
        <v>74</v>
      </c>
    </row>
    <row r="97" spans="1:12" ht="14.1" customHeight="1" x14ac:dyDescent="0.2">
      <c r="A97" s="5" t="s">
        <v>85</v>
      </c>
      <c r="B97" t="s">
        <v>1</v>
      </c>
      <c r="C97" t="s">
        <v>80</v>
      </c>
      <c r="D97" t="s">
        <v>3</v>
      </c>
      <c r="E97" s="2">
        <v>1122.2</v>
      </c>
      <c r="F97" t="s">
        <v>4</v>
      </c>
      <c r="G97" t="s">
        <v>0</v>
      </c>
      <c r="H97" t="s">
        <v>81</v>
      </c>
      <c r="I97" t="s">
        <v>0</v>
      </c>
      <c r="J97" t="s">
        <v>74</v>
      </c>
      <c r="K97" t="s">
        <v>6</v>
      </c>
      <c r="L97" t="s">
        <v>74</v>
      </c>
    </row>
    <row r="98" spans="1:12" ht="14.1" customHeight="1" x14ac:dyDescent="0.2">
      <c r="A98" s="5" t="s">
        <v>85</v>
      </c>
      <c r="B98" t="s">
        <v>1</v>
      </c>
      <c r="C98" t="s">
        <v>80</v>
      </c>
      <c r="D98" t="s">
        <v>3</v>
      </c>
      <c r="E98" s="2">
        <v>1247.3</v>
      </c>
      <c r="F98" t="s">
        <v>4</v>
      </c>
      <c r="G98" t="s">
        <v>0</v>
      </c>
      <c r="H98" t="s">
        <v>81</v>
      </c>
      <c r="I98" t="s">
        <v>0</v>
      </c>
      <c r="J98" t="s">
        <v>74</v>
      </c>
      <c r="K98" t="s">
        <v>6</v>
      </c>
      <c r="L98" t="s">
        <v>74</v>
      </c>
    </row>
    <row r="99" spans="1:12" ht="14.1" customHeight="1" x14ac:dyDescent="0.2">
      <c r="A99" s="5" t="s">
        <v>85</v>
      </c>
      <c r="B99" t="s">
        <v>1</v>
      </c>
      <c r="C99" t="s">
        <v>80</v>
      </c>
      <c r="D99" t="s">
        <v>3</v>
      </c>
      <c r="E99" s="2">
        <v>1782.21</v>
      </c>
      <c r="F99" t="s">
        <v>4</v>
      </c>
      <c r="G99" t="s">
        <v>0</v>
      </c>
      <c r="H99" t="s">
        <v>81</v>
      </c>
      <c r="I99" t="s">
        <v>0</v>
      </c>
      <c r="J99" t="s">
        <v>74</v>
      </c>
      <c r="K99" t="s">
        <v>6</v>
      </c>
      <c r="L99" t="s">
        <v>74</v>
      </c>
    </row>
    <row r="100" spans="1:12" ht="14.1" customHeight="1" x14ac:dyDescent="0.2">
      <c r="A100" s="5" t="s">
        <v>85</v>
      </c>
      <c r="B100" t="s">
        <v>1</v>
      </c>
      <c r="C100" t="s">
        <v>80</v>
      </c>
      <c r="D100" t="s">
        <v>3</v>
      </c>
      <c r="E100" s="2">
        <v>146522.34</v>
      </c>
      <c r="F100" t="s">
        <v>4</v>
      </c>
      <c r="G100" t="s">
        <v>0</v>
      </c>
      <c r="H100" t="s">
        <v>81</v>
      </c>
      <c r="I100" t="s">
        <v>0</v>
      </c>
      <c r="J100" t="s">
        <v>74</v>
      </c>
      <c r="K100" t="s">
        <v>6</v>
      </c>
      <c r="L100" t="s">
        <v>74</v>
      </c>
    </row>
    <row r="101" spans="1:12" ht="14.1" customHeight="1" x14ac:dyDescent="0.2">
      <c r="A101" s="5" t="s">
        <v>85</v>
      </c>
      <c r="B101" t="s">
        <v>1</v>
      </c>
      <c r="C101" t="s">
        <v>80</v>
      </c>
      <c r="D101" t="s">
        <v>3</v>
      </c>
      <c r="E101" s="2">
        <v>929441.2</v>
      </c>
      <c r="F101" t="s">
        <v>4</v>
      </c>
      <c r="G101" t="s">
        <v>0</v>
      </c>
      <c r="H101" t="s">
        <v>81</v>
      </c>
      <c r="I101" t="s">
        <v>0</v>
      </c>
      <c r="J101" t="s">
        <v>74</v>
      </c>
      <c r="K101" t="s">
        <v>6</v>
      </c>
      <c r="L101" t="s">
        <v>74</v>
      </c>
    </row>
    <row r="102" spans="1:12" ht="14.1" customHeight="1" x14ac:dyDescent="0.2">
      <c r="A102" s="5" t="s">
        <v>85</v>
      </c>
      <c r="B102" t="s">
        <v>1</v>
      </c>
      <c r="C102" t="s">
        <v>80</v>
      </c>
      <c r="D102" t="s">
        <v>3</v>
      </c>
      <c r="E102" s="2">
        <v>139416.18</v>
      </c>
      <c r="F102" t="s">
        <v>4</v>
      </c>
      <c r="G102" t="s">
        <v>0</v>
      </c>
      <c r="H102" t="s">
        <v>81</v>
      </c>
      <c r="I102" t="s">
        <v>0</v>
      </c>
      <c r="J102" t="s">
        <v>74</v>
      </c>
      <c r="K102" t="s">
        <v>6</v>
      </c>
      <c r="L102" t="s">
        <v>74</v>
      </c>
    </row>
    <row r="103" spans="1:12" ht="14.1" customHeight="1" x14ac:dyDescent="0.2">
      <c r="A103" s="5" t="s">
        <v>85</v>
      </c>
      <c r="B103" t="s">
        <v>1</v>
      </c>
      <c r="C103" t="s">
        <v>80</v>
      </c>
      <c r="D103" t="s">
        <v>3</v>
      </c>
      <c r="E103" s="2">
        <v>2463.0100000000002</v>
      </c>
      <c r="F103" t="s">
        <v>4</v>
      </c>
      <c r="G103" t="s">
        <v>0</v>
      </c>
      <c r="H103" t="s">
        <v>81</v>
      </c>
      <c r="I103" t="s">
        <v>0</v>
      </c>
      <c r="J103" t="s">
        <v>76</v>
      </c>
      <c r="K103" t="s">
        <v>6</v>
      </c>
      <c r="L103" t="s">
        <v>76</v>
      </c>
    </row>
    <row r="104" spans="1:12" ht="14.1" customHeight="1" x14ac:dyDescent="0.2">
      <c r="A104" s="5" t="s">
        <v>85</v>
      </c>
      <c r="B104" t="s">
        <v>1</v>
      </c>
      <c r="C104" t="s">
        <v>80</v>
      </c>
      <c r="D104" t="s">
        <v>3</v>
      </c>
      <c r="E104" s="2">
        <v>5140.05</v>
      </c>
      <c r="F104" t="s">
        <v>4</v>
      </c>
      <c r="G104" t="s">
        <v>0</v>
      </c>
      <c r="H104" t="s">
        <v>81</v>
      </c>
      <c r="I104" t="s">
        <v>0</v>
      </c>
      <c r="J104" t="s">
        <v>74</v>
      </c>
      <c r="K104" t="s">
        <v>6</v>
      </c>
      <c r="L104" t="s">
        <v>74</v>
      </c>
    </row>
    <row r="105" spans="1:12" ht="14.1" customHeight="1" x14ac:dyDescent="0.2">
      <c r="A105" s="5" t="s">
        <v>85</v>
      </c>
      <c r="B105" t="s">
        <v>1</v>
      </c>
      <c r="C105" t="s">
        <v>80</v>
      </c>
      <c r="D105" t="s">
        <v>3</v>
      </c>
      <c r="E105" s="2">
        <v>169863.01</v>
      </c>
      <c r="F105" t="s">
        <v>4</v>
      </c>
      <c r="G105" t="s">
        <v>0</v>
      </c>
      <c r="H105" t="s">
        <v>81</v>
      </c>
      <c r="I105" t="s">
        <v>0</v>
      </c>
      <c r="J105" t="s">
        <v>76</v>
      </c>
      <c r="K105" t="s">
        <v>6</v>
      </c>
      <c r="L105" t="s">
        <v>76</v>
      </c>
    </row>
    <row r="106" spans="1:12" ht="14.1" customHeight="1" x14ac:dyDescent="0.2">
      <c r="A106" s="5" t="s">
        <v>85</v>
      </c>
      <c r="B106" t="s">
        <v>1</v>
      </c>
      <c r="C106" t="s">
        <v>80</v>
      </c>
      <c r="D106" t="s">
        <v>3</v>
      </c>
      <c r="E106" s="2">
        <v>23354.75</v>
      </c>
      <c r="F106" t="s">
        <v>4</v>
      </c>
      <c r="G106" t="s">
        <v>0</v>
      </c>
      <c r="H106" t="s">
        <v>81</v>
      </c>
      <c r="I106" t="s">
        <v>0</v>
      </c>
      <c r="J106" t="s">
        <v>76</v>
      </c>
      <c r="K106" t="s">
        <v>6</v>
      </c>
      <c r="L106" t="s">
        <v>76</v>
      </c>
    </row>
    <row r="107" spans="1:12" ht="14.1" customHeight="1" x14ac:dyDescent="0.2">
      <c r="A107" s="5" t="s">
        <v>85</v>
      </c>
      <c r="B107" t="s">
        <v>1</v>
      </c>
      <c r="C107" t="s">
        <v>80</v>
      </c>
      <c r="D107" t="s">
        <v>3</v>
      </c>
      <c r="E107" s="2">
        <v>250795.62</v>
      </c>
      <c r="F107" t="s">
        <v>4</v>
      </c>
      <c r="G107" t="s">
        <v>0</v>
      </c>
      <c r="H107" t="s">
        <v>81</v>
      </c>
      <c r="I107" t="s">
        <v>0</v>
      </c>
      <c r="J107" t="s">
        <v>74</v>
      </c>
      <c r="K107" t="s">
        <v>6</v>
      </c>
      <c r="L107" t="s">
        <v>74</v>
      </c>
    </row>
    <row r="108" spans="1:12" ht="14.1" customHeight="1" x14ac:dyDescent="0.2">
      <c r="A108" s="5" t="s">
        <v>85</v>
      </c>
      <c r="B108" t="s">
        <v>1</v>
      </c>
      <c r="C108" t="s">
        <v>80</v>
      </c>
      <c r="D108" t="s">
        <v>3</v>
      </c>
      <c r="E108" s="2">
        <v>236069.02</v>
      </c>
      <c r="F108" t="s">
        <v>4</v>
      </c>
      <c r="G108" t="s">
        <v>0</v>
      </c>
      <c r="H108" t="s">
        <v>81</v>
      </c>
      <c r="I108" t="s">
        <v>0</v>
      </c>
      <c r="J108" t="s">
        <v>76</v>
      </c>
      <c r="K108" t="s">
        <v>6</v>
      </c>
      <c r="L108" t="s">
        <v>76</v>
      </c>
    </row>
    <row r="109" spans="1:12" ht="14.1" customHeight="1" x14ac:dyDescent="0.2">
      <c r="A109" s="5" t="s">
        <v>85</v>
      </c>
      <c r="B109" t="s">
        <v>1</v>
      </c>
      <c r="C109" t="s">
        <v>80</v>
      </c>
      <c r="D109" t="s">
        <v>3</v>
      </c>
      <c r="E109" s="2">
        <v>38921.78</v>
      </c>
      <c r="F109" t="s">
        <v>4</v>
      </c>
      <c r="G109" t="s">
        <v>0</v>
      </c>
      <c r="H109" t="s">
        <v>81</v>
      </c>
      <c r="I109" t="s">
        <v>0</v>
      </c>
      <c r="J109" t="s">
        <v>76</v>
      </c>
      <c r="K109" t="s">
        <v>6</v>
      </c>
      <c r="L109" t="s">
        <v>76</v>
      </c>
    </row>
    <row r="110" spans="1:12" ht="14.1" customHeight="1" x14ac:dyDescent="0.2">
      <c r="A110" s="5" t="s">
        <v>85</v>
      </c>
      <c r="B110" t="s">
        <v>1</v>
      </c>
      <c r="C110" t="s">
        <v>80</v>
      </c>
      <c r="D110" t="s">
        <v>3</v>
      </c>
      <c r="E110" s="2">
        <v>2760.27</v>
      </c>
      <c r="F110" t="s">
        <v>4</v>
      </c>
      <c r="G110" t="s">
        <v>0</v>
      </c>
      <c r="H110" t="s">
        <v>81</v>
      </c>
      <c r="I110" t="s">
        <v>0</v>
      </c>
      <c r="J110" t="s">
        <v>74</v>
      </c>
      <c r="K110" t="s">
        <v>6</v>
      </c>
      <c r="L110" t="s">
        <v>74</v>
      </c>
    </row>
    <row r="111" spans="1:12" ht="14.1" customHeight="1" x14ac:dyDescent="0.2">
      <c r="A111" s="5" t="s">
        <v>85</v>
      </c>
      <c r="B111" t="s">
        <v>1</v>
      </c>
      <c r="C111" t="s">
        <v>80</v>
      </c>
      <c r="D111" t="s">
        <v>3</v>
      </c>
      <c r="E111" s="2">
        <v>8471.92</v>
      </c>
      <c r="F111" t="s">
        <v>4</v>
      </c>
      <c r="G111" t="s">
        <v>0</v>
      </c>
      <c r="H111" t="s">
        <v>81</v>
      </c>
      <c r="I111" t="s">
        <v>0</v>
      </c>
      <c r="J111" t="s">
        <v>74</v>
      </c>
      <c r="K111" t="s">
        <v>6</v>
      </c>
      <c r="L111" t="s">
        <v>74</v>
      </c>
    </row>
    <row r="112" spans="1:12" ht="14.1" customHeight="1" x14ac:dyDescent="0.2">
      <c r="A112" s="5" t="s">
        <v>85</v>
      </c>
      <c r="B112" t="s">
        <v>1</v>
      </c>
      <c r="C112" t="s">
        <v>80</v>
      </c>
      <c r="D112" t="s">
        <v>3</v>
      </c>
      <c r="E112" s="2">
        <v>352.46</v>
      </c>
      <c r="F112" t="s">
        <v>4</v>
      </c>
      <c r="G112" t="s">
        <v>0</v>
      </c>
      <c r="H112" t="s">
        <v>81</v>
      </c>
      <c r="I112" t="s">
        <v>0</v>
      </c>
      <c r="J112" t="s">
        <v>74</v>
      </c>
      <c r="K112" t="s">
        <v>6</v>
      </c>
      <c r="L112" t="s">
        <v>74</v>
      </c>
    </row>
    <row r="113" spans="1:12" ht="14.1" customHeight="1" x14ac:dyDescent="0.2">
      <c r="A113" s="5" t="s">
        <v>85</v>
      </c>
      <c r="B113" t="s">
        <v>1</v>
      </c>
      <c r="C113" t="s">
        <v>80</v>
      </c>
      <c r="D113" t="s">
        <v>3</v>
      </c>
      <c r="E113" s="2">
        <v>351379.48</v>
      </c>
      <c r="F113" t="s">
        <v>4</v>
      </c>
      <c r="G113" t="s">
        <v>0</v>
      </c>
      <c r="H113" t="s">
        <v>81</v>
      </c>
      <c r="I113" t="s">
        <v>0</v>
      </c>
      <c r="J113" t="s">
        <v>74</v>
      </c>
      <c r="K113" t="s">
        <v>6</v>
      </c>
      <c r="L113" t="s">
        <v>74</v>
      </c>
    </row>
    <row r="114" spans="1:12" ht="14.1" customHeight="1" x14ac:dyDescent="0.2">
      <c r="A114" s="5" t="s">
        <v>85</v>
      </c>
      <c r="B114" t="s">
        <v>1</v>
      </c>
      <c r="C114" t="s">
        <v>80</v>
      </c>
      <c r="D114" t="s">
        <v>3</v>
      </c>
      <c r="E114" s="2">
        <v>702812.46</v>
      </c>
      <c r="F114" t="s">
        <v>4</v>
      </c>
      <c r="G114" t="s">
        <v>0</v>
      </c>
      <c r="H114" t="s">
        <v>81</v>
      </c>
      <c r="I114" t="s">
        <v>0</v>
      </c>
      <c r="J114" t="s">
        <v>74</v>
      </c>
      <c r="K114" t="s">
        <v>6</v>
      </c>
      <c r="L114" t="s">
        <v>74</v>
      </c>
    </row>
    <row r="115" spans="1:12" ht="14.1" customHeight="1" x14ac:dyDescent="0.2">
      <c r="A115" s="5" t="s">
        <v>85</v>
      </c>
      <c r="B115" t="s">
        <v>1</v>
      </c>
      <c r="C115" t="s">
        <v>80</v>
      </c>
      <c r="D115" t="s">
        <v>3</v>
      </c>
      <c r="E115" s="2">
        <v>1505.92</v>
      </c>
      <c r="F115" t="s">
        <v>4</v>
      </c>
      <c r="G115" t="s">
        <v>0</v>
      </c>
      <c r="H115" t="s">
        <v>81</v>
      </c>
      <c r="I115" t="s">
        <v>0</v>
      </c>
      <c r="J115" t="s">
        <v>74</v>
      </c>
      <c r="K115" t="s">
        <v>6</v>
      </c>
      <c r="L115" t="s">
        <v>74</v>
      </c>
    </row>
    <row r="116" spans="1:12" ht="14.1" customHeight="1" x14ac:dyDescent="0.2">
      <c r="A116" s="5" t="s">
        <v>85</v>
      </c>
      <c r="B116" t="s">
        <v>1</v>
      </c>
      <c r="C116" t="s">
        <v>80</v>
      </c>
      <c r="D116" t="s">
        <v>3</v>
      </c>
      <c r="E116" s="2">
        <v>1003.94</v>
      </c>
      <c r="F116" t="s">
        <v>4</v>
      </c>
      <c r="G116" t="s">
        <v>0</v>
      </c>
      <c r="H116" t="s">
        <v>81</v>
      </c>
      <c r="I116" t="s">
        <v>0</v>
      </c>
      <c r="J116" t="s">
        <v>74</v>
      </c>
      <c r="K116" t="s">
        <v>6</v>
      </c>
      <c r="L116" t="s">
        <v>74</v>
      </c>
    </row>
    <row r="117" spans="1:12" ht="14.1" customHeight="1" x14ac:dyDescent="0.2">
      <c r="A117" s="5" t="s">
        <v>85</v>
      </c>
      <c r="B117" t="s">
        <v>1</v>
      </c>
      <c r="C117" t="s">
        <v>80</v>
      </c>
      <c r="D117" t="s">
        <v>3</v>
      </c>
      <c r="E117" s="2">
        <v>1327.82</v>
      </c>
      <c r="F117" t="s">
        <v>4</v>
      </c>
      <c r="G117" t="s">
        <v>0</v>
      </c>
      <c r="H117" t="s">
        <v>81</v>
      </c>
      <c r="I117" t="s">
        <v>0</v>
      </c>
      <c r="J117" t="s">
        <v>74</v>
      </c>
      <c r="K117" t="s">
        <v>6</v>
      </c>
      <c r="L117" t="s">
        <v>74</v>
      </c>
    </row>
    <row r="118" spans="1:12" ht="14.1" customHeight="1" x14ac:dyDescent="0.2">
      <c r="A118" s="5" t="s">
        <v>85</v>
      </c>
      <c r="B118" t="s">
        <v>1</v>
      </c>
      <c r="C118" t="s">
        <v>80</v>
      </c>
      <c r="D118" t="s">
        <v>3</v>
      </c>
      <c r="E118" s="2">
        <v>14619.37</v>
      </c>
      <c r="F118" t="s">
        <v>4</v>
      </c>
      <c r="G118" t="s">
        <v>0</v>
      </c>
      <c r="H118" t="s">
        <v>81</v>
      </c>
      <c r="I118" t="s">
        <v>0</v>
      </c>
      <c r="J118" t="s">
        <v>74</v>
      </c>
      <c r="K118" t="s">
        <v>6</v>
      </c>
      <c r="L118" t="s">
        <v>74</v>
      </c>
    </row>
    <row r="119" spans="1:12" ht="14.1" customHeight="1" x14ac:dyDescent="0.2">
      <c r="A119" s="5" t="s">
        <v>85</v>
      </c>
      <c r="B119" t="s">
        <v>1</v>
      </c>
      <c r="C119" t="s">
        <v>80</v>
      </c>
      <c r="D119" t="s">
        <v>3</v>
      </c>
      <c r="E119" s="2">
        <v>132874.31</v>
      </c>
      <c r="F119" t="s">
        <v>4</v>
      </c>
      <c r="G119" t="s">
        <v>0</v>
      </c>
      <c r="H119" t="s">
        <v>81</v>
      </c>
      <c r="I119" t="s">
        <v>0</v>
      </c>
      <c r="J119" t="s">
        <v>74</v>
      </c>
      <c r="K119" t="s">
        <v>6</v>
      </c>
      <c r="L119" t="s">
        <v>74</v>
      </c>
    </row>
    <row r="120" spans="1:12" ht="14.1" customHeight="1" x14ac:dyDescent="0.2">
      <c r="A120" s="5" t="s">
        <v>85</v>
      </c>
      <c r="B120" t="s">
        <v>1</v>
      </c>
      <c r="C120" t="s">
        <v>80</v>
      </c>
      <c r="D120" t="s">
        <v>3</v>
      </c>
      <c r="E120" s="2">
        <v>393542.91</v>
      </c>
      <c r="F120" t="s">
        <v>4</v>
      </c>
      <c r="G120" t="s">
        <v>0</v>
      </c>
      <c r="H120" t="s">
        <v>81</v>
      </c>
      <c r="I120" t="s">
        <v>0</v>
      </c>
      <c r="J120" t="s">
        <v>74</v>
      </c>
      <c r="K120" t="s">
        <v>6</v>
      </c>
      <c r="L120" t="s">
        <v>74</v>
      </c>
    </row>
    <row r="121" spans="1:12" ht="14.1" customHeight="1" x14ac:dyDescent="0.2">
      <c r="A121" s="5" t="s">
        <v>85</v>
      </c>
      <c r="B121" t="s">
        <v>1</v>
      </c>
      <c r="C121" t="s">
        <v>80</v>
      </c>
      <c r="D121" t="s">
        <v>3</v>
      </c>
      <c r="E121" s="2">
        <v>157417.15</v>
      </c>
      <c r="F121" t="s">
        <v>4</v>
      </c>
      <c r="G121" t="s">
        <v>0</v>
      </c>
      <c r="H121" t="s">
        <v>81</v>
      </c>
      <c r="I121" t="s">
        <v>0</v>
      </c>
      <c r="J121" t="s">
        <v>74</v>
      </c>
      <c r="K121" t="s">
        <v>6</v>
      </c>
      <c r="L121" t="s">
        <v>74</v>
      </c>
    </row>
    <row r="122" spans="1:12" ht="14.1" customHeight="1" x14ac:dyDescent="0.2">
      <c r="A122" s="5" t="s">
        <v>85</v>
      </c>
      <c r="B122" t="s">
        <v>1</v>
      </c>
      <c r="C122" t="s">
        <v>80</v>
      </c>
      <c r="D122" t="s">
        <v>3</v>
      </c>
      <c r="E122" s="2">
        <v>19677.13</v>
      </c>
      <c r="F122" t="s">
        <v>4</v>
      </c>
      <c r="G122" t="s">
        <v>0</v>
      </c>
      <c r="H122" t="s">
        <v>81</v>
      </c>
      <c r="I122" t="s">
        <v>0</v>
      </c>
      <c r="J122" t="s">
        <v>74</v>
      </c>
      <c r="K122" t="s">
        <v>6</v>
      </c>
      <c r="L122" t="s">
        <v>74</v>
      </c>
    </row>
    <row r="123" spans="1:12" ht="14.1" customHeight="1" x14ac:dyDescent="0.2">
      <c r="A123" s="5" t="s">
        <v>85</v>
      </c>
      <c r="B123" t="s">
        <v>1</v>
      </c>
      <c r="C123" t="s">
        <v>80</v>
      </c>
      <c r="D123" t="s">
        <v>3</v>
      </c>
      <c r="E123" s="2">
        <v>13118.09</v>
      </c>
      <c r="F123" t="s">
        <v>4</v>
      </c>
      <c r="G123" t="s">
        <v>0</v>
      </c>
      <c r="H123" t="s">
        <v>81</v>
      </c>
      <c r="I123" t="s">
        <v>0</v>
      </c>
      <c r="J123" t="s">
        <v>74</v>
      </c>
      <c r="K123" t="s">
        <v>6</v>
      </c>
      <c r="L123" t="s">
        <v>74</v>
      </c>
    </row>
    <row r="124" spans="1:12" ht="14.1" customHeight="1" x14ac:dyDescent="0.2">
      <c r="A124" s="5" t="s">
        <v>85</v>
      </c>
      <c r="B124" t="s">
        <v>1</v>
      </c>
      <c r="C124" t="s">
        <v>80</v>
      </c>
      <c r="D124" t="s">
        <v>3</v>
      </c>
      <c r="E124" s="2">
        <v>4467.8500000000004</v>
      </c>
      <c r="F124" t="s">
        <v>4</v>
      </c>
      <c r="G124" t="s">
        <v>0</v>
      </c>
      <c r="H124" t="s">
        <v>81</v>
      </c>
      <c r="I124" t="s">
        <v>0</v>
      </c>
      <c r="J124" t="s">
        <v>74</v>
      </c>
      <c r="K124" t="s">
        <v>6</v>
      </c>
      <c r="L124" t="s">
        <v>74</v>
      </c>
    </row>
    <row r="125" spans="1:12" ht="14.1" customHeight="1" x14ac:dyDescent="0.2">
      <c r="A125" s="5" t="s">
        <v>85</v>
      </c>
      <c r="B125" t="s">
        <v>1</v>
      </c>
      <c r="C125" t="s">
        <v>80</v>
      </c>
      <c r="D125" t="s">
        <v>3</v>
      </c>
      <c r="E125" s="2">
        <v>1017.12</v>
      </c>
      <c r="F125" t="s">
        <v>4</v>
      </c>
      <c r="G125" t="s">
        <v>0</v>
      </c>
      <c r="H125" t="s">
        <v>81</v>
      </c>
      <c r="I125" t="s">
        <v>0</v>
      </c>
      <c r="J125" t="s">
        <v>74</v>
      </c>
      <c r="K125" t="s">
        <v>6</v>
      </c>
      <c r="L125" t="s">
        <v>74</v>
      </c>
    </row>
    <row r="126" spans="1:12" ht="14.1" customHeight="1" x14ac:dyDescent="0.2">
      <c r="A126" s="5" t="s">
        <v>85</v>
      </c>
      <c r="B126" t="s">
        <v>1</v>
      </c>
      <c r="C126" t="s">
        <v>80</v>
      </c>
      <c r="D126" t="s">
        <v>3</v>
      </c>
      <c r="E126" s="2">
        <v>12.96</v>
      </c>
      <c r="F126" t="s">
        <v>4</v>
      </c>
      <c r="G126" t="s">
        <v>0</v>
      </c>
      <c r="H126" t="s">
        <v>81</v>
      </c>
      <c r="I126" t="s">
        <v>0</v>
      </c>
      <c r="J126" t="s">
        <v>74</v>
      </c>
      <c r="K126" t="s">
        <v>6</v>
      </c>
      <c r="L126" t="s">
        <v>74</v>
      </c>
    </row>
    <row r="127" spans="1:12" ht="14.1" customHeight="1" x14ac:dyDescent="0.2">
      <c r="A127" s="5" t="s">
        <v>85</v>
      </c>
      <c r="B127" t="s">
        <v>1</v>
      </c>
      <c r="C127" t="s">
        <v>80</v>
      </c>
      <c r="D127" t="s">
        <v>3</v>
      </c>
      <c r="E127" s="2">
        <v>24756.16</v>
      </c>
      <c r="F127" t="s">
        <v>4</v>
      </c>
      <c r="G127" t="s">
        <v>0</v>
      </c>
      <c r="H127" t="s">
        <v>81</v>
      </c>
      <c r="I127" t="s">
        <v>0</v>
      </c>
      <c r="J127" t="s">
        <v>74</v>
      </c>
      <c r="K127" t="s">
        <v>6</v>
      </c>
      <c r="L127" t="s">
        <v>74</v>
      </c>
    </row>
    <row r="128" spans="1:12" ht="14.1" customHeight="1" x14ac:dyDescent="0.2">
      <c r="A128" s="5" t="s">
        <v>85</v>
      </c>
      <c r="B128" t="s">
        <v>1</v>
      </c>
      <c r="C128" t="s">
        <v>80</v>
      </c>
      <c r="D128" t="s">
        <v>3</v>
      </c>
      <c r="E128" s="2">
        <v>21227.03</v>
      </c>
      <c r="F128" t="s">
        <v>4</v>
      </c>
      <c r="G128" t="s">
        <v>0</v>
      </c>
      <c r="H128" t="s">
        <v>81</v>
      </c>
      <c r="I128" t="s">
        <v>0</v>
      </c>
      <c r="J128" t="s">
        <v>76</v>
      </c>
      <c r="K128" t="s">
        <v>6</v>
      </c>
      <c r="L128" t="s">
        <v>76</v>
      </c>
    </row>
    <row r="129" spans="1:12" ht="14.1" customHeight="1" x14ac:dyDescent="0.2">
      <c r="A129" s="5" t="s">
        <v>85</v>
      </c>
      <c r="B129" t="s">
        <v>1</v>
      </c>
      <c r="C129" t="s">
        <v>80</v>
      </c>
      <c r="D129" t="s">
        <v>3</v>
      </c>
      <c r="E129" s="2">
        <v>20301.09</v>
      </c>
      <c r="F129" t="s">
        <v>4</v>
      </c>
      <c r="G129" t="s">
        <v>0</v>
      </c>
      <c r="H129" t="s">
        <v>81</v>
      </c>
      <c r="I129" t="s">
        <v>0</v>
      </c>
      <c r="J129" t="s">
        <v>74</v>
      </c>
      <c r="K129" t="s">
        <v>6</v>
      </c>
      <c r="L129" t="s">
        <v>74</v>
      </c>
    </row>
    <row r="130" spans="1:12" ht="14.1" customHeight="1" x14ac:dyDescent="0.2">
      <c r="A130" s="5" t="s">
        <v>85</v>
      </c>
      <c r="B130" t="s">
        <v>1</v>
      </c>
      <c r="C130" t="s">
        <v>80</v>
      </c>
      <c r="D130" t="s">
        <v>3</v>
      </c>
      <c r="E130" s="2">
        <v>1368.61</v>
      </c>
      <c r="F130" t="s">
        <v>4</v>
      </c>
      <c r="G130" t="s">
        <v>0</v>
      </c>
      <c r="H130" t="s">
        <v>81</v>
      </c>
      <c r="I130" t="s">
        <v>0</v>
      </c>
      <c r="J130" t="s">
        <v>74</v>
      </c>
      <c r="K130" t="s">
        <v>6</v>
      </c>
      <c r="L130" t="s">
        <v>74</v>
      </c>
    </row>
    <row r="131" spans="1:12" ht="14.1" customHeight="1" x14ac:dyDescent="0.2">
      <c r="A131" s="5" t="s">
        <v>85</v>
      </c>
      <c r="B131" t="s">
        <v>1</v>
      </c>
      <c r="C131" t="s">
        <v>80</v>
      </c>
      <c r="D131" t="s">
        <v>3</v>
      </c>
      <c r="E131" s="2">
        <v>1368.61</v>
      </c>
      <c r="F131" t="s">
        <v>4</v>
      </c>
      <c r="G131" t="s">
        <v>0</v>
      </c>
      <c r="H131" t="s">
        <v>81</v>
      </c>
      <c r="I131" t="s">
        <v>0</v>
      </c>
      <c r="J131" t="s">
        <v>74</v>
      </c>
      <c r="K131" t="s">
        <v>6</v>
      </c>
      <c r="L131" t="s">
        <v>74</v>
      </c>
    </row>
    <row r="132" spans="1:12" ht="14.1" customHeight="1" x14ac:dyDescent="0.2">
      <c r="A132" s="5" t="s">
        <v>85</v>
      </c>
      <c r="B132" t="s">
        <v>1</v>
      </c>
      <c r="C132" t="s">
        <v>80</v>
      </c>
      <c r="D132" t="s">
        <v>3</v>
      </c>
      <c r="E132" s="2">
        <v>2609.4899999999998</v>
      </c>
      <c r="F132" t="s">
        <v>4</v>
      </c>
      <c r="G132" t="s">
        <v>0</v>
      </c>
      <c r="H132" t="s">
        <v>81</v>
      </c>
      <c r="I132" t="s">
        <v>0</v>
      </c>
      <c r="J132" t="s">
        <v>76</v>
      </c>
      <c r="K132" t="s">
        <v>6</v>
      </c>
      <c r="L132" t="s">
        <v>76</v>
      </c>
    </row>
    <row r="133" spans="1:12" ht="14.1" customHeight="1" x14ac:dyDescent="0.2">
      <c r="A133" s="5" t="s">
        <v>85</v>
      </c>
      <c r="B133" t="s">
        <v>1</v>
      </c>
      <c r="C133" t="s">
        <v>80</v>
      </c>
      <c r="D133" t="s">
        <v>3</v>
      </c>
      <c r="E133" s="2">
        <v>17700.73</v>
      </c>
      <c r="F133" t="s">
        <v>4</v>
      </c>
      <c r="G133" t="s">
        <v>0</v>
      </c>
      <c r="H133" t="s">
        <v>81</v>
      </c>
      <c r="I133" t="s">
        <v>0</v>
      </c>
      <c r="J133" t="s">
        <v>74</v>
      </c>
      <c r="K133" t="s">
        <v>6</v>
      </c>
      <c r="L133" t="s">
        <v>74</v>
      </c>
    </row>
    <row r="134" spans="1:12" ht="14.1" customHeight="1" x14ac:dyDescent="0.2">
      <c r="A134" s="5" t="s">
        <v>85</v>
      </c>
      <c r="B134" t="s">
        <v>1</v>
      </c>
      <c r="C134" t="s">
        <v>80</v>
      </c>
      <c r="D134" t="s">
        <v>3</v>
      </c>
      <c r="E134" s="2">
        <v>5680.05</v>
      </c>
      <c r="F134" t="s">
        <v>4</v>
      </c>
      <c r="G134" t="s">
        <v>0</v>
      </c>
      <c r="H134" t="s">
        <v>81</v>
      </c>
      <c r="I134" t="s">
        <v>0</v>
      </c>
      <c r="J134" t="s">
        <v>76</v>
      </c>
      <c r="K134" t="s">
        <v>6</v>
      </c>
      <c r="L134" t="s">
        <v>76</v>
      </c>
    </row>
    <row r="135" spans="1:12" ht="14.1" customHeight="1" x14ac:dyDescent="0.2">
      <c r="A135" s="5" t="s">
        <v>85</v>
      </c>
      <c r="B135" t="s">
        <v>1</v>
      </c>
      <c r="C135" t="s">
        <v>80</v>
      </c>
      <c r="D135" t="s">
        <v>3</v>
      </c>
      <c r="E135" s="2">
        <v>88903.65</v>
      </c>
      <c r="F135" t="s">
        <v>4</v>
      </c>
      <c r="G135" t="s">
        <v>0</v>
      </c>
      <c r="H135" t="s">
        <v>81</v>
      </c>
      <c r="I135" t="s">
        <v>0</v>
      </c>
      <c r="J135" t="s">
        <v>76</v>
      </c>
      <c r="K135" t="s">
        <v>6</v>
      </c>
      <c r="L135" t="s">
        <v>76</v>
      </c>
    </row>
    <row r="136" spans="1:12" ht="14.1" customHeight="1" x14ac:dyDescent="0.2">
      <c r="A136" s="5" t="s">
        <v>85</v>
      </c>
      <c r="B136" t="s">
        <v>1</v>
      </c>
      <c r="C136" t="s">
        <v>80</v>
      </c>
      <c r="D136" t="s">
        <v>3</v>
      </c>
      <c r="E136" s="2">
        <v>24136.86</v>
      </c>
      <c r="F136" t="s">
        <v>4</v>
      </c>
      <c r="G136" t="s">
        <v>0</v>
      </c>
      <c r="H136" t="s">
        <v>81</v>
      </c>
      <c r="I136" t="s">
        <v>0</v>
      </c>
      <c r="J136" t="s">
        <v>76</v>
      </c>
      <c r="K136" t="s">
        <v>6</v>
      </c>
      <c r="L136" t="s">
        <v>76</v>
      </c>
    </row>
    <row r="137" spans="1:12" ht="14.1" customHeight="1" x14ac:dyDescent="0.2">
      <c r="A137" s="5" t="s">
        <v>85</v>
      </c>
      <c r="B137" t="s">
        <v>1</v>
      </c>
      <c r="C137" t="s">
        <v>80</v>
      </c>
      <c r="D137" t="s">
        <v>3</v>
      </c>
      <c r="E137" s="2">
        <v>290252.48</v>
      </c>
      <c r="F137" t="s">
        <v>4</v>
      </c>
      <c r="G137" t="s">
        <v>0</v>
      </c>
      <c r="H137" t="s">
        <v>81</v>
      </c>
      <c r="I137" t="s">
        <v>0</v>
      </c>
      <c r="J137" t="s">
        <v>76</v>
      </c>
      <c r="K137" t="s">
        <v>6</v>
      </c>
      <c r="L137" t="s">
        <v>76</v>
      </c>
    </row>
    <row r="138" spans="1:12" ht="14.1" customHeight="1" x14ac:dyDescent="0.2">
      <c r="A138" s="5" t="s">
        <v>85</v>
      </c>
      <c r="B138" t="s">
        <v>1</v>
      </c>
      <c r="C138" t="s">
        <v>80</v>
      </c>
      <c r="D138" t="s">
        <v>3</v>
      </c>
      <c r="E138" s="2">
        <v>2665.04</v>
      </c>
      <c r="F138" t="s">
        <v>4</v>
      </c>
      <c r="G138" t="s">
        <v>0</v>
      </c>
      <c r="H138" t="s">
        <v>81</v>
      </c>
      <c r="I138" t="s">
        <v>0</v>
      </c>
      <c r="J138" t="s">
        <v>76</v>
      </c>
      <c r="K138" t="s">
        <v>6</v>
      </c>
      <c r="L138" t="s">
        <v>76</v>
      </c>
    </row>
    <row r="139" spans="1:12" ht="14.1" customHeight="1" x14ac:dyDescent="0.2">
      <c r="A139" s="5" t="s">
        <v>85</v>
      </c>
      <c r="B139" t="s">
        <v>1</v>
      </c>
      <c r="C139" t="s">
        <v>80</v>
      </c>
      <c r="D139" t="s">
        <v>3</v>
      </c>
      <c r="E139" s="2">
        <v>2.74</v>
      </c>
      <c r="F139" t="s">
        <v>4</v>
      </c>
      <c r="G139" t="s">
        <v>0</v>
      </c>
      <c r="H139" t="s">
        <v>81</v>
      </c>
      <c r="I139" t="s">
        <v>0</v>
      </c>
      <c r="J139" t="s">
        <v>74</v>
      </c>
      <c r="K139" t="s">
        <v>6</v>
      </c>
      <c r="L139" t="s">
        <v>74</v>
      </c>
    </row>
    <row r="140" spans="1:12" ht="14.1" customHeight="1" x14ac:dyDescent="0.2">
      <c r="A140" s="5" t="s">
        <v>85</v>
      </c>
      <c r="B140" t="s">
        <v>1</v>
      </c>
      <c r="C140" t="s">
        <v>80</v>
      </c>
      <c r="D140" t="s">
        <v>3</v>
      </c>
      <c r="E140" s="2">
        <v>2.74</v>
      </c>
      <c r="F140" t="s">
        <v>4</v>
      </c>
      <c r="G140" t="s">
        <v>0</v>
      </c>
      <c r="H140" t="s">
        <v>81</v>
      </c>
      <c r="I140" t="s">
        <v>0</v>
      </c>
      <c r="J140" t="s">
        <v>74</v>
      </c>
      <c r="K140" t="s">
        <v>6</v>
      </c>
      <c r="L140" t="s">
        <v>74</v>
      </c>
    </row>
    <row r="141" spans="1:12" ht="14.1" customHeight="1" x14ac:dyDescent="0.2">
      <c r="A141" s="5" t="s">
        <v>85</v>
      </c>
      <c r="B141" t="s">
        <v>1</v>
      </c>
      <c r="C141" t="s">
        <v>80</v>
      </c>
      <c r="D141" t="s">
        <v>3</v>
      </c>
      <c r="E141" s="2">
        <v>62465.75</v>
      </c>
      <c r="F141" t="s">
        <v>4</v>
      </c>
      <c r="G141" t="s">
        <v>0</v>
      </c>
      <c r="H141" t="s">
        <v>81</v>
      </c>
      <c r="I141" t="s">
        <v>0</v>
      </c>
      <c r="J141" t="s">
        <v>76</v>
      </c>
      <c r="K141" t="s">
        <v>6</v>
      </c>
      <c r="L141" t="s">
        <v>76</v>
      </c>
    </row>
    <row r="142" spans="1:12" ht="14.1" customHeight="1" x14ac:dyDescent="0.2">
      <c r="A142" s="5" t="s">
        <v>85</v>
      </c>
      <c r="B142" t="s">
        <v>1</v>
      </c>
      <c r="C142" t="s">
        <v>80</v>
      </c>
      <c r="D142" t="s">
        <v>3</v>
      </c>
      <c r="E142" s="2">
        <v>62465.75</v>
      </c>
      <c r="F142" t="s">
        <v>4</v>
      </c>
      <c r="G142" t="s">
        <v>0</v>
      </c>
      <c r="H142" t="s">
        <v>81</v>
      </c>
      <c r="I142" t="s">
        <v>0</v>
      </c>
      <c r="J142" t="s">
        <v>76</v>
      </c>
      <c r="K142" t="s">
        <v>6</v>
      </c>
      <c r="L142" t="s">
        <v>76</v>
      </c>
    </row>
    <row r="143" spans="1:12" ht="14.1" customHeight="1" x14ac:dyDescent="0.2">
      <c r="A143" s="5" t="s">
        <v>85</v>
      </c>
      <c r="B143" t="s">
        <v>1</v>
      </c>
      <c r="C143" t="s">
        <v>80</v>
      </c>
      <c r="D143" t="s">
        <v>3</v>
      </c>
      <c r="E143" s="2">
        <v>1221.92</v>
      </c>
      <c r="F143" t="s">
        <v>4</v>
      </c>
      <c r="G143" t="s">
        <v>0</v>
      </c>
      <c r="H143" t="s">
        <v>81</v>
      </c>
      <c r="I143" t="s">
        <v>0</v>
      </c>
      <c r="J143" t="s">
        <v>76</v>
      </c>
      <c r="K143" t="s">
        <v>6</v>
      </c>
      <c r="L143" t="s">
        <v>76</v>
      </c>
    </row>
    <row r="144" spans="1:12" ht="14.1" customHeight="1" x14ac:dyDescent="0.2">
      <c r="A144" s="5" t="s">
        <v>85</v>
      </c>
      <c r="B144" t="s">
        <v>1</v>
      </c>
      <c r="C144" t="s">
        <v>80</v>
      </c>
      <c r="D144" t="s">
        <v>3</v>
      </c>
      <c r="E144" s="2">
        <v>630.14</v>
      </c>
      <c r="F144" t="s">
        <v>4</v>
      </c>
      <c r="G144" t="s">
        <v>0</v>
      </c>
      <c r="H144" t="s">
        <v>81</v>
      </c>
      <c r="I144" t="s">
        <v>0</v>
      </c>
      <c r="J144" t="s">
        <v>76</v>
      </c>
      <c r="K144" t="s">
        <v>6</v>
      </c>
      <c r="L144" t="s">
        <v>76</v>
      </c>
    </row>
    <row r="145" spans="1:12" ht="14.1" customHeight="1" x14ac:dyDescent="0.2">
      <c r="A145" s="5" t="s">
        <v>85</v>
      </c>
      <c r="B145" t="s">
        <v>1</v>
      </c>
      <c r="C145" t="s">
        <v>80</v>
      </c>
      <c r="D145" t="s">
        <v>3</v>
      </c>
      <c r="E145" s="2">
        <v>43.15</v>
      </c>
      <c r="F145" t="s">
        <v>4</v>
      </c>
      <c r="G145" t="s">
        <v>0</v>
      </c>
      <c r="H145" t="s">
        <v>81</v>
      </c>
      <c r="I145" t="s">
        <v>0</v>
      </c>
      <c r="J145" t="s">
        <v>76</v>
      </c>
      <c r="K145" t="s">
        <v>6</v>
      </c>
      <c r="L145" t="s">
        <v>76</v>
      </c>
    </row>
    <row r="146" spans="1:12" ht="14.1" customHeight="1" x14ac:dyDescent="0.2">
      <c r="A146" s="5" t="s">
        <v>85</v>
      </c>
      <c r="B146" t="s">
        <v>1</v>
      </c>
      <c r="C146" t="s">
        <v>80</v>
      </c>
      <c r="D146" t="s">
        <v>3</v>
      </c>
      <c r="E146" s="2">
        <v>228.29</v>
      </c>
      <c r="F146" t="s">
        <v>4</v>
      </c>
      <c r="G146" t="s">
        <v>0</v>
      </c>
      <c r="H146" t="s">
        <v>81</v>
      </c>
      <c r="I146" t="s">
        <v>0</v>
      </c>
      <c r="J146" t="s">
        <v>76</v>
      </c>
      <c r="K146" t="s">
        <v>6</v>
      </c>
      <c r="L146" t="s">
        <v>76</v>
      </c>
    </row>
    <row r="147" spans="1:12" ht="14.1" customHeight="1" x14ac:dyDescent="0.2">
      <c r="A147" s="5" t="s">
        <v>85</v>
      </c>
      <c r="B147" t="s">
        <v>1</v>
      </c>
      <c r="C147" t="s">
        <v>80</v>
      </c>
      <c r="D147" t="s">
        <v>3</v>
      </c>
      <c r="E147" s="2">
        <v>2500</v>
      </c>
      <c r="F147" t="s">
        <v>4</v>
      </c>
      <c r="G147" t="s">
        <v>0</v>
      </c>
      <c r="H147" t="s">
        <v>82</v>
      </c>
      <c r="I147" t="s">
        <v>0</v>
      </c>
      <c r="J147" t="s">
        <v>75</v>
      </c>
      <c r="K147" t="s">
        <v>6</v>
      </c>
      <c r="L147" t="s">
        <v>75</v>
      </c>
    </row>
    <row r="148" spans="1:12" ht="14.1" customHeight="1" x14ac:dyDescent="0.2">
      <c r="A148" s="5" t="s">
        <v>85</v>
      </c>
      <c r="B148" t="s">
        <v>1</v>
      </c>
      <c r="C148" t="s">
        <v>80</v>
      </c>
      <c r="D148" t="s">
        <v>3</v>
      </c>
      <c r="E148" s="2">
        <v>65590.48</v>
      </c>
      <c r="F148" t="s">
        <v>4</v>
      </c>
      <c r="G148" t="s">
        <v>0</v>
      </c>
      <c r="H148" t="s">
        <v>82</v>
      </c>
      <c r="I148" t="s">
        <v>0</v>
      </c>
      <c r="J148" t="s">
        <v>74</v>
      </c>
      <c r="K148" t="s">
        <v>6</v>
      </c>
      <c r="L148" t="s">
        <v>74</v>
      </c>
    </row>
    <row r="149" spans="1:12" ht="14.1" customHeight="1" x14ac:dyDescent="0.2">
      <c r="A149" s="5" t="s">
        <v>85</v>
      </c>
      <c r="B149" t="s">
        <v>1</v>
      </c>
      <c r="C149" t="s">
        <v>80</v>
      </c>
      <c r="D149" t="s">
        <v>3</v>
      </c>
      <c r="E149" s="2">
        <v>65590.48</v>
      </c>
      <c r="F149" t="s">
        <v>4</v>
      </c>
      <c r="G149" t="s">
        <v>0</v>
      </c>
      <c r="H149" t="s">
        <v>82</v>
      </c>
      <c r="I149" t="s">
        <v>0</v>
      </c>
      <c r="J149" t="s">
        <v>74</v>
      </c>
      <c r="K149" t="s">
        <v>6</v>
      </c>
      <c r="L149" t="s">
        <v>74</v>
      </c>
    </row>
    <row r="150" spans="1:12" ht="14.1" customHeight="1" x14ac:dyDescent="0.2">
      <c r="A150" s="5" t="s">
        <v>85</v>
      </c>
      <c r="B150" t="s">
        <v>1</v>
      </c>
      <c r="C150" t="s">
        <v>80</v>
      </c>
      <c r="D150" t="s">
        <v>3</v>
      </c>
      <c r="E150" s="2">
        <v>55499.62</v>
      </c>
      <c r="F150" t="s">
        <v>4</v>
      </c>
      <c r="G150" t="s">
        <v>0</v>
      </c>
      <c r="H150" t="s">
        <v>82</v>
      </c>
      <c r="I150" t="s">
        <v>0</v>
      </c>
      <c r="J150" t="s">
        <v>74</v>
      </c>
      <c r="K150" t="s">
        <v>6</v>
      </c>
      <c r="L150" t="s">
        <v>74</v>
      </c>
    </row>
    <row r="151" spans="1:12" ht="14.1" customHeight="1" x14ac:dyDescent="0.2">
      <c r="A151" s="5" t="s">
        <v>85</v>
      </c>
      <c r="B151" t="s">
        <v>1</v>
      </c>
      <c r="C151" t="s">
        <v>80</v>
      </c>
      <c r="D151" t="s">
        <v>3</v>
      </c>
      <c r="E151" s="2">
        <v>55499.62</v>
      </c>
      <c r="F151" t="s">
        <v>4</v>
      </c>
      <c r="G151" t="s">
        <v>0</v>
      </c>
      <c r="H151" t="s">
        <v>82</v>
      </c>
      <c r="I151" t="s">
        <v>0</v>
      </c>
      <c r="J151" t="s">
        <v>74</v>
      </c>
      <c r="K151" t="s">
        <v>6</v>
      </c>
      <c r="L151" t="s">
        <v>74</v>
      </c>
    </row>
    <row r="152" spans="1:12" ht="14.1" customHeight="1" x14ac:dyDescent="0.2">
      <c r="A152" s="5" t="s">
        <v>85</v>
      </c>
      <c r="B152" t="s">
        <v>1</v>
      </c>
      <c r="C152" t="s">
        <v>80</v>
      </c>
      <c r="D152" t="s">
        <v>3</v>
      </c>
      <c r="E152" s="2">
        <v>86332.79</v>
      </c>
      <c r="F152" t="s">
        <v>4</v>
      </c>
      <c r="G152" t="s">
        <v>0</v>
      </c>
      <c r="H152" t="s">
        <v>82</v>
      </c>
      <c r="I152" t="s">
        <v>0</v>
      </c>
      <c r="J152" t="s">
        <v>74</v>
      </c>
      <c r="K152" t="s">
        <v>6</v>
      </c>
      <c r="L152" t="s">
        <v>74</v>
      </c>
    </row>
    <row r="153" spans="1:12" ht="14.1" customHeight="1" x14ac:dyDescent="0.2">
      <c r="A153" s="5" t="s">
        <v>85</v>
      </c>
      <c r="B153" t="s">
        <v>1</v>
      </c>
      <c r="C153" t="s">
        <v>80</v>
      </c>
      <c r="D153" t="s">
        <v>3</v>
      </c>
      <c r="E153" s="2">
        <v>86332.79</v>
      </c>
      <c r="F153" t="s">
        <v>4</v>
      </c>
      <c r="G153" t="s">
        <v>0</v>
      </c>
      <c r="H153" t="s">
        <v>82</v>
      </c>
      <c r="I153" t="s">
        <v>0</v>
      </c>
      <c r="J153" t="s">
        <v>74</v>
      </c>
      <c r="K153" t="s">
        <v>6</v>
      </c>
      <c r="L153" t="s">
        <v>74</v>
      </c>
    </row>
    <row r="154" spans="1:12" ht="14.1" customHeight="1" x14ac:dyDescent="0.2">
      <c r="A154" s="5" t="s">
        <v>85</v>
      </c>
      <c r="B154" t="s">
        <v>1</v>
      </c>
      <c r="C154" t="s">
        <v>80</v>
      </c>
      <c r="D154" t="s">
        <v>3</v>
      </c>
      <c r="E154" s="2">
        <v>4872.26</v>
      </c>
      <c r="F154" t="s">
        <v>4</v>
      </c>
      <c r="G154" t="s">
        <v>0</v>
      </c>
      <c r="H154" t="s">
        <v>82</v>
      </c>
      <c r="I154" t="s">
        <v>0</v>
      </c>
      <c r="J154" t="s">
        <v>74</v>
      </c>
      <c r="K154" t="s">
        <v>6</v>
      </c>
      <c r="L154" t="s">
        <v>74</v>
      </c>
    </row>
    <row r="155" spans="1:12" ht="14.1" customHeight="1" x14ac:dyDescent="0.2">
      <c r="A155" s="5" t="s">
        <v>85</v>
      </c>
      <c r="B155" t="s">
        <v>1</v>
      </c>
      <c r="C155" t="s">
        <v>80</v>
      </c>
      <c r="D155" t="s">
        <v>3</v>
      </c>
      <c r="E155" s="2">
        <v>328.47</v>
      </c>
      <c r="F155" t="s">
        <v>4</v>
      </c>
      <c r="G155" t="s">
        <v>0</v>
      </c>
      <c r="H155" t="s">
        <v>82</v>
      </c>
      <c r="I155" t="s">
        <v>0</v>
      </c>
      <c r="J155" t="s">
        <v>74</v>
      </c>
      <c r="K155" t="s">
        <v>6</v>
      </c>
      <c r="L155" t="s">
        <v>74</v>
      </c>
    </row>
    <row r="156" spans="1:12" ht="14.1" customHeight="1" x14ac:dyDescent="0.2">
      <c r="A156" s="5" t="s">
        <v>85</v>
      </c>
      <c r="B156" t="s">
        <v>1</v>
      </c>
      <c r="C156" t="s">
        <v>80</v>
      </c>
      <c r="D156" t="s">
        <v>3</v>
      </c>
      <c r="E156" s="2">
        <v>328.47</v>
      </c>
      <c r="F156" t="s">
        <v>4</v>
      </c>
      <c r="G156" t="s">
        <v>0</v>
      </c>
      <c r="H156" t="s">
        <v>82</v>
      </c>
      <c r="I156" t="s">
        <v>0</v>
      </c>
      <c r="J156" t="s">
        <v>74</v>
      </c>
      <c r="K156" t="s">
        <v>6</v>
      </c>
      <c r="L156" t="s">
        <v>74</v>
      </c>
    </row>
    <row r="157" spans="1:12" ht="14.1" customHeight="1" x14ac:dyDescent="0.2">
      <c r="A157" s="5" t="s">
        <v>85</v>
      </c>
      <c r="B157" t="s">
        <v>1</v>
      </c>
      <c r="C157" t="s">
        <v>80</v>
      </c>
      <c r="D157" t="s">
        <v>3</v>
      </c>
      <c r="E157" s="2">
        <v>21841.42</v>
      </c>
      <c r="F157" t="s">
        <v>4</v>
      </c>
      <c r="G157" t="s">
        <v>0</v>
      </c>
      <c r="H157" t="s">
        <v>82</v>
      </c>
      <c r="I157" t="s">
        <v>0</v>
      </c>
      <c r="J157" t="s">
        <v>74</v>
      </c>
      <c r="K157" t="s">
        <v>6</v>
      </c>
      <c r="L157" t="s">
        <v>74</v>
      </c>
    </row>
    <row r="158" spans="1:12" ht="14.1" customHeight="1" x14ac:dyDescent="0.2">
      <c r="A158" s="5" t="s">
        <v>85</v>
      </c>
      <c r="B158" t="s">
        <v>1</v>
      </c>
      <c r="C158" t="s">
        <v>80</v>
      </c>
      <c r="D158" t="s">
        <v>3</v>
      </c>
      <c r="E158" s="2">
        <v>395142.06</v>
      </c>
      <c r="F158" t="s">
        <v>4</v>
      </c>
      <c r="G158" t="s">
        <v>0</v>
      </c>
      <c r="H158" t="s">
        <v>82</v>
      </c>
      <c r="I158" t="s">
        <v>0</v>
      </c>
      <c r="J158" t="s">
        <v>74</v>
      </c>
      <c r="K158" t="s">
        <v>6</v>
      </c>
      <c r="L158" t="s">
        <v>74</v>
      </c>
    </row>
    <row r="159" spans="1:12" ht="14.1" customHeight="1" x14ac:dyDescent="0.2">
      <c r="A159" s="5" t="s">
        <v>85</v>
      </c>
      <c r="B159" t="s">
        <v>1</v>
      </c>
      <c r="C159" t="s">
        <v>80</v>
      </c>
      <c r="D159" t="s">
        <v>3</v>
      </c>
      <c r="E159" s="2">
        <v>155460.54</v>
      </c>
      <c r="F159" t="s">
        <v>4</v>
      </c>
      <c r="G159" t="s">
        <v>0</v>
      </c>
      <c r="H159" t="s">
        <v>82</v>
      </c>
      <c r="I159" t="s">
        <v>0</v>
      </c>
      <c r="J159" t="s">
        <v>74</v>
      </c>
      <c r="K159" t="s">
        <v>6</v>
      </c>
      <c r="L159" t="s">
        <v>74</v>
      </c>
    </row>
    <row r="160" spans="1:12" ht="14.1" customHeight="1" x14ac:dyDescent="0.2">
      <c r="A160" s="5" t="s">
        <v>85</v>
      </c>
      <c r="B160" t="s">
        <v>1</v>
      </c>
      <c r="C160" t="s">
        <v>80</v>
      </c>
      <c r="D160" t="s">
        <v>3</v>
      </c>
      <c r="E160" s="2">
        <v>175027.67</v>
      </c>
      <c r="F160" t="s">
        <v>4</v>
      </c>
      <c r="G160" t="s">
        <v>0</v>
      </c>
      <c r="H160" t="s">
        <v>82</v>
      </c>
      <c r="I160" t="s">
        <v>0</v>
      </c>
      <c r="J160" t="s">
        <v>74</v>
      </c>
      <c r="K160" t="s">
        <v>6</v>
      </c>
      <c r="L160" t="s">
        <v>74</v>
      </c>
    </row>
    <row r="161" spans="1:12" ht="14.1" customHeight="1" x14ac:dyDescent="0.2">
      <c r="A161" s="5" t="s">
        <v>85</v>
      </c>
      <c r="B161" t="s">
        <v>1</v>
      </c>
      <c r="C161" t="s">
        <v>80</v>
      </c>
      <c r="D161" t="s">
        <v>3</v>
      </c>
      <c r="E161" s="2">
        <v>429.93</v>
      </c>
      <c r="F161" t="s">
        <v>4</v>
      </c>
      <c r="G161" t="s">
        <v>0</v>
      </c>
      <c r="H161" t="s">
        <v>82</v>
      </c>
      <c r="I161" t="s">
        <v>0</v>
      </c>
      <c r="J161" t="s">
        <v>74</v>
      </c>
      <c r="K161" t="s">
        <v>6</v>
      </c>
      <c r="L161" t="s">
        <v>74</v>
      </c>
    </row>
    <row r="162" spans="1:12" ht="14.1" customHeight="1" x14ac:dyDescent="0.2">
      <c r="A162" s="5" t="s">
        <v>85</v>
      </c>
      <c r="B162" t="s">
        <v>1</v>
      </c>
      <c r="C162" t="s">
        <v>80</v>
      </c>
      <c r="D162" t="s">
        <v>3</v>
      </c>
      <c r="E162" s="2">
        <v>93.34</v>
      </c>
      <c r="F162" t="s">
        <v>4</v>
      </c>
      <c r="G162" t="s">
        <v>0</v>
      </c>
      <c r="H162" t="s">
        <v>82</v>
      </c>
      <c r="I162" t="s">
        <v>0</v>
      </c>
      <c r="J162" t="s">
        <v>74</v>
      </c>
      <c r="K162" t="s">
        <v>6</v>
      </c>
      <c r="L162" t="s">
        <v>74</v>
      </c>
    </row>
    <row r="163" spans="1:12" ht="14.1" customHeight="1" x14ac:dyDescent="0.2">
      <c r="A163" s="5" t="s">
        <v>85</v>
      </c>
      <c r="B163" t="s">
        <v>1</v>
      </c>
      <c r="C163" t="s">
        <v>80</v>
      </c>
      <c r="D163" t="s">
        <v>3</v>
      </c>
      <c r="E163" s="2">
        <v>933.39</v>
      </c>
      <c r="F163" t="s">
        <v>4</v>
      </c>
      <c r="G163" t="s">
        <v>0</v>
      </c>
      <c r="H163" t="s">
        <v>82</v>
      </c>
      <c r="I163" t="s">
        <v>0</v>
      </c>
      <c r="J163" t="s">
        <v>74</v>
      </c>
      <c r="K163" t="s">
        <v>6</v>
      </c>
      <c r="L163" t="s">
        <v>74</v>
      </c>
    </row>
    <row r="164" spans="1:12" ht="14.1" customHeight="1" x14ac:dyDescent="0.2">
      <c r="A164" s="5" t="s">
        <v>85</v>
      </c>
      <c r="B164" t="s">
        <v>1</v>
      </c>
      <c r="C164" t="s">
        <v>80</v>
      </c>
      <c r="D164" t="s">
        <v>3</v>
      </c>
      <c r="E164" s="2">
        <v>31395.99</v>
      </c>
      <c r="F164" t="s">
        <v>4</v>
      </c>
      <c r="G164" t="s">
        <v>0</v>
      </c>
      <c r="H164" t="s">
        <v>82</v>
      </c>
      <c r="I164" t="s">
        <v>0</v>
      </c>
      <c r="J164" t="s">
        <v>74</v>
      </c>
      <c r="K164" t="s">
        <v>6</v>
      </c>
      <c r="L164" t="s">
        <v>74</v>
      </c>
    </row>
    <row r="165" spans="1:12" ht="14.1" customHeight="1" x14ac:dyDescent="0.2">
      <c r="A165" s="5" t="s">
        <v>85</v>
      </c>
      <c r="B165" t="s">
        <v>1</v>
      </c>
      <c r="C165" t="s">
        <v>80</v>
      </c>
      <c r="D165" t="s">
        <v>3</v>
      </c>
      <c r="E165" s="2">
        <v>3111.31</v>
      </c>
      <c r="F165" t="s">
        <v>4</v>
      </c>
      <c r="G165" t="s">
        <v>0</v>
      </c>
      <c r="H165" t="s">
        <v>82</v>
      </c>
      <c r="I165" t="s">
        <v>0</v>
      </c>
      <c r="J165" t="s">
        <v>74</v>
      </c>
      <c r="K165" t="s">
        <v>6</v>
      </c>
      <c r="L165" t="s">
        <v>74</v>
      </c>
    </row>
    <row r="166" spans="1:12" ht="14.1" customHeight="1" x14ac:dyDescent="0.2">
      <c r="A166" s="5" t="s">
        <v>85</v>
      </c>
      <c r="B166" t="s">
        <v>1</v>
      </c>
      <c r="C166" t="s">
        <v>80</v>
      </c>
      <c r="D166" t="s">
        <v>3</v>
      </c>
      <c r="E166" s="2">
        <v>2800.19</v>
      </c>
      <c r="F166" t="s">
        <v>4</v>
      </c>
      <c r="G166" t="s">
        <v>0</v>
      </c>
      <c r="H166" t="s">
        <v>82</v>
      </c>
      <c r="I166" t="s">
        <v>0</v>
      </c>
      <c r="J166" t="s">
        <v>74</v>
      </c>
      <c r="K166" t="s">
        <v>6</v>
      </c>
      <c r="L166" t="s">
        <v>74</v>
      </c>
    </row>
    <row r="167" spans="1:12" ht="14.1" customHeight="1" x14ac:dyDescent="0.2">
      <c r="A167" s="5" t="s">
        <v>85</v>
      </c>
      <c r="B167" t="s">
        <v>1</v>
      </c>
      <c r="C167" t="s">
        <v>80</v>
      </c>
      <c r="D167" t="s">
        <v>3</v>
      </c>
      <c r="E167" s="2">
        <v>3080.2</v>
      </c>
      <c r="F167" t="s">
        <v>4</v>
      </c>
      <c r="G167" t="s">
        <v>0</v>
      </c>
      <c r="H167" t="s">
        <v>82</v>
      </c>
      <c r="I167" t="s">
        <v>0</v>
      </c>
      <c r="J167" t="s">
        <v>74</v>
      </c>
      <c r="K167" t="s">
        <v>6</v>
      </c>
      <c r="L167" t="s">
        <v>74</v>
      </c>
    </row>
    <row r="168" spans="1:12" ht="14.1" customHeight="1" x14ac:dyDescent="0.2">
      <c r="A168" s="5" t="s">
        <v>85</v>
      </c>
      <c r="B168" t="s">
        <v>1</v>
      </c>
      <c r="C168" t="s">
        <v>80</v>
      </c>
      <c r="D168" t="s">
        <v>3</v>
      </c>
      <c r="E168" s="2">
        <v>3095.76</v>
      </c>
      <c r="F168" t="s">
        <v>4</v>
      </c>
      <c r="G168" t="s">
        <v>0</v>
      </c>
      <c r="H168" t="s">
        <v>82</v>
      </c>
      <c r="I168" t="s">
        <v>0</v>
      </c>
      <c r="J168" t="s">
        <v>74</v>
      </c>
      <c r="K168" t="s">
        <v>6</v>
      </c>
      <c r="L168" t="s">
        <v>74</v>
      </c>
    </row>
    <row r="169" spans="1:12" ht="14.1" customHeight="1" x14ac:dyDescent="0.2">
      <c r="A169" s="5" t="s">
        <v>85</v>
      </c>
      <c r="B169" t="s">
        <v>1</v>
      </c>
      <c r="C169" t="s">
        <v>80</v>
      </c>
      <c r="D169" t="s">
        <v>3</v>
      </c>
      <c r="E169" s="2">
        <v>933.39</v>
      </c>
      <c r="F169" t="s">
        <v>4</v>
      </c>
      <c r="G169" t="s">
        <v>0</v>
      </c>
      <c r="H169" t="s">
        <v>82</v>
      </c>
      <c r="I169" t="s">
        <v>0</v>
      </c>
      <c r="J169" t="s">
        <v>74</v>
      </c>
      <c r="K169" t="s">
        <v>6</v>
      </c>
      <c r="L169" t="s">
        <v>74</v>
      </c>
    </row>
    <row r="170" spans="1:12" ht="14.1" customHeight="1" x14ac:dyDescent="0.2">
      <c r="A170" s="5" t="s">
        <v>85</v>
      </c>
      <c r="B170" t="s">
        <v>1</v>
      </c>
      <c r="C170" t="s">
        <v>80</v>
      </c>
      <c r="D170" t="s">
        <v>3</v>
      </c>
      <c r="E170" s="2">
        <v>4044.7</v>
      </c>
      <c r="F170" t="s">
        <v>4</v>
      </c>
      <c r="G170" t="s">
        <v>0</v>
      </c>
      <c r="H170" t="s">
        <v>82</v>
      </c>
      <c r="I170" t="s">
        <v>0</v>
      </c>
      <c r="J170" t="s">
        <v>74</v>
      </c>
      <c r="K170" t="s">
        <v>6</v>
      </c>
      <c r="L170" t="s">
        <v>74</v>
      </c>
    </row>
    <row r="171" spans="1:12" ht="14.1" customHeight="1" x14ac:dyDescent="0.2">
      <c r="A171" s="5" t="s">
        <v>85</v>
      </c>
      <c r="B171" t="s">
        <v>1</v>
      </c>
      <c r="C171" t="s">
        <v>80</v>
      </c>
      <c r="D171" t="s">
        <v>3</v>
      </c>
      <c r="E171" s="2">
        <v>1244.53</v>
      </c>
      <c r="F171" t="s">
        <v>4</v>
      </c>
      <c r="G171" t="s">
        <v>0</v>
      </c>
      <c r="H171" t="s">
        <v>82</v>
      </c>
      <c r="I171" t="s">
        <v>0</v>
      </c>
      <c r="J171" t="s">
        <v>74</v>
      </c>
      <c r="K171" t="s">
        <v>6</v>
      </c>
      <c r="L171" t="s">
        <v>74</v>
      </c>
    </row>
    <row r="172" spans="1:12" ht="14.1" customHeight="1" x14ac:dyDescent="0.2">
      <c r="A172" s="5" t="s">
        <v>85</v>
      </c>
      <c r="B172" t="s">
        <v>1</v>
      </c>
      <c r="C172" t="s">
        <v>80</v>
      </c>
      <c r="D172" t="s">
        <v>3</v>
      </c>
      <c r="E172" s="2">
        <v>2489.0500000000002</v>
      </c>
      <c r="F172" t="s">
        <v>4</v>
      </c>
      <c r="G172" t="s">
        <v>0</v>
      </c>
      <c r="H172" t="s">
        <v>82</v>
      </c>
      <c r="I172" t="s">
        <v>0</v>
      </c>
      <c r="J172" t="s">
        <v>74</v>
      </c>
      <c r="K172" t="s">
        <v>6</v>
      </c>
      <c r="L172" t="s">
        <v>74</v>
      </c>
    </row>
    <row r="173" spans="1:12" ht="14.1" customHeight="1" x14ac:dyDescent="0.2">
      <c r="A173" s="5" t="s">
        <v>85</v>
      </c>
      <c r="B173" t="s">
        <v>1</v>
      </c>
      <c r="C173" t="s">
        <v>80</v>
      </c>
      <c r="D173" t="s">
        <v>3</v>
      </c>
      <c r="E173" s="2">
        <v>3111.31</v>
      </c>
      <c r="F173" t="s">
        <v>4</v>
      </c>
      <c r="G173" t="s">
        <v>0</v>
      </c>
      <c r="H173" t="s">
        <v>82</v>
      </c>
      <c r="I173" t="s">
        <v>0</v>
      </c>
      <c r="J173" t="s">
        <v>74</v>
      </c>
      <c r="K173" t="s">
        <v>6</v>
      </c>
      <c r="L173" t="s">
        <v>74</v>
      </c>
    </row>
    <row r="174" spans="1:12" ht="14.1" customHeight="1" x14ac:dyDescent="0.2">
      <c r="A174" s="5" t="s">
        <v>85</v>
      </c>
      <c r="B174" t="s">
        <v>1</v>
      </c>
      <c r="C174" t="s">
        <v>80</v>
      </c>
      <c r="D174" t="s">
        <v>3</v>
      </c>
      <c r="E174" s="2">
        <v>3111.31</v>
      </c>
      <c r="F174" t="s">
        <v>4</v>
      </c>
      <c r="G174" t="s">
        <v>0</v>
      </c>
      <c r="H174" t="s">
        <v>82</v>
      </c>
      <c r="I174" t="s">
        <v>0</v>
      </c>
      <c r="J174" t="s">
        <v>74</v>
      </c>
      <c r="K174" t="s">
        <v>6</v>
      </c>
      <c r="L174" t="s">
        <v>74</v>
      </c>
    </row>
    <row r="175" spans="1:12" ht="14.1" customHeight="1" x14ac:dyDescent="0.2">
      <c r="A175" s="5" t="s">
        <v>85</v>
      </c>
      <c r="B175" t="s">
        <v>1</v>
      </c>
      <c r="C175" t="s">
        <v>80</v>
      </c>
      <c r="D175" t="s">
        <v>3</v>
      </c>
      <c r="E175" s="2">
        <v>1524.54</v>
      </c>
      <c r="F175" t="s">
        <v>4</v>
      </c>
      <c r="G175" t="s">
        <v>0</v>
      </c>
      <c r="H175" t="s">
        <v>82</v>
      </c>
      <c r="I175" t="s">
        <v>0</v>
      </c>
      <c r="J175" t="s">
        <v>74</v>
      </c>
      <c r="K175" t="s">
        <v>6</v>
      </c>
      <c r="L175" t="s">
        <v>74</v>
      </c>
    </row>
    <row r="176" spans="1:12" ht="14.1" customHeight="1" x14ac:dyDescent="0.2">
      <c r="A176" s="5" t="s">
        <v>85</v>
      </c>
      <c r="B176" t="s">
        <v>1</v>
      </c>
      <c r="C176" t="s">
        <v>80</v>
      </c>
      <c r="D176" t="s">
        <v>3</v>
      </c>
      <c r="E176" s="2">
        <v>2955.74</v>
      </c>
      <c r="F176" t="s">
        <v>4</v>
      </c>
      <c r="G176" t="s">
        <v>0</v>
      </c>
      <c r="H176" t="s">
        <v>82</v>
      </c>
      <c r="I176" t="s">
        <v>0</v>
      </c>
      <c r="J176" t="s">
        <v>74</v>
      </c>
      <c r="K176" t="s">
        <v>6</v>
      </c>
      <c r="L176" t="s">
        <v>74</v>
      </c>
    </row>
    <row r="177" spans="1:12" ht="14.1" customHeight="1" x14ac:dyDescent="0.2">
      <c r="A177" s="5" t="s">
        <v>85</v>
      </c>
      <c r="B177" t="s">
        <v>1</v>
      </c>
      <c r="C177" t="s">
        <v>80</v>
      </c>
      <c r="D177" t="s">
        <v>3</v>
      </c>
      <c r="E177" s="2">
        <v>2800.19</v>
      </c>
      <c r="F177" t="s">
        <v>4</v>
      </c>
      <c r="G177" t="s">
        <v>0</v>
      </c>
      <c r="H177" t="s">
        <v>82</v>
      </c>
      <c r="I177" t="s">
        <v>0</v>
      </c>
      <c r="J177" t="s">
        <v>74</v>
      </c>
      <c r="K177" t="s">
        <v>6</v>
      </c>
      <c r="L177" t="s">
        <v>74</v>
      </c>
    </row>
    <row r="178" spans="1:12" ht="14.1" customHeight="1" x14ac:dyDescent="0.2">
      <c r="A178" s="5" t="s">
        <v>85</v>
      </c>
      <c r="B178" t="s">
        <v>1</v>
      </c>
      <c r="C178" t="s">
        <v>80</v>
      </c>
      <c r="D178" t="s">
        <v>3</v>
      </c>
      <c r="E178" s="2">
        <v>3326.28</v>
      </c>
      <c r="F178" t="s">
        <v>4</v>
      </c>
      <c r="G178" t="s">
        <v>0</v>
      </c>
      <c r="H178" t="s">
        <v>82</v>
      </c>
      <c r="I178" t="s">
        <v>0</v>
      </c>
      <c r="J178" t="s">
        <v>74</v>
      </c>
      <c r="K178" t="s">
        <v>6</v>
      </c>
      <c r="L178" t="s">
        <v>74</v>
      </c>
    </row>
    <row r="179" spans="1:12" ht="14.1" customHeight="1" x14ac:dyDescent="0.2">
      <c r="A179" s="5" t="s">
        <v>85</v>
      </c>
      <c r="B179" t="s">
        <v>1</v>
      </c>
      <c r="C179" t="s">
        <v>80</v>
      </c>
      <c r="D179" t="s">
        <v>3</v>
      </c>
      <c r="E179" s="2">
        <v>1723.95</v>
      </c>
      <c r="F179" t="s">
        <v>4</v>
      </c>
      <c r="G179" t="s">
        <v>0</v>
      </c>
      <c r="H179" t="s">
        <v>82</v>
      </c>
      <c r="I179" t="s">
        <v>0</v>
      </c>
      <c r="J179" t="s">
        <v>74</v>
      </c>
      <c r="K179" t="s">
        <v>6</v>
      </c>
      <c r="L179" t="s">
        <v>74</v>
      </c>
    </row>
    <row r="180" spans="1:12" ht="14.1" customHeight="1" x14ac:dyDescent="0.2">
      <c r="A180" s="5" t="s">
        <v>85</v>
      </c>
      <c r="B180" t="s">
        <v>1</v>
      </c>
      <c r="C180" t="s">
        <v>80</v>
      </c>
      <c r="D180" t="s">
        <v>3</v>
      </c>
      <c r="E180" s="2">
        <v>34.18</v>
      </c>
      <c r="F180" t="s">
        <v>4</v>
      </c>
      <c r="G180" t="s">
        <v>0</v>
      </c>
      <c r="H180" t="s">
        <v>82</v>
      </c>
      <c r="I180" t="s">
        <v>0</v>
      </c>
      <c r="J180" t="s">
        <v>74</v>
      </c>
      <c r="K180" t="s">
        <v>6</v>
      </c>
      <c r="L180" t="s">
        <v>74</v>
      </c>
    </row>
    <row r="181" spans="1:12" ht="14.1" customHeight="1" x14ac:dyDescent="0.2">
      <c r="A181" s="5" t="s">
        <v>85</v>
      </c>
      <c r="B181" t="s">
        <v>1</v>
      </c>
      <c r="C181" t="s">
        <v>80</v>
      </c>
      <c r="D181" t="s">
        <v>3</v>
      </c>
      <c r="E181" s="2">
        <v>4744.5200000000004</v>
      </c>
      <c r="F181" t="s">
        <v>4</v>
      </c>
      <c r="G181" t="s">
        <v>0</v>
      </c>
      <c r="H181" t="s">
        <v>82</v>
      </c>
      <c r="I181" t="s">
        <v>0</v>
      </c>
      <c r="J181" t="s">
        <v>76</v>
      </c>
      <c r="K181" t="s">
        <v>6</v>
      </c>
      <c r="L181" t="s">
        <v>76</v>
      </c>
    </row>
    <row r="182" spans="1:12" ht="14.1" customHeight="1" x14ac:dyDescent="0.2">
      <c r="A182" s="5" t="s">
        <v>85</v>
      </c>
      <c r="B182" t="s">
        <v>1</v>
      </c>
      <c r="C182" t="s">
        <v>80</v>
      </c>
      <c r="D182" t="s">
        <v>3</v>
      </c>
      <c r="E182" s="2">
        <v>12234.68</v>
      </c>
      <c r="F182" t="s">
        <v>4</v>
      </c>
      <c r="G182" t="s">
        <v>0</v>
      </c>
      <c r="H182" t="s">
        <v>82</v>
      </c>
      <c r="I182" t="s">
        <v>0</v>
      </c>
      <c r="J182" t="s">
        <v>74</v>
      </c>
      <c r="K182" t="s">
        <v>6</v>
      </c>
      <c r="L182" t="s">
        <v>74</v>
      </c>
    </row>
    <row r="183" spans="1:12" ht="14.1" customHeight="1" x14ac:dyDescent="0.2">
      <c r="A183" s="5" t="s">
        <v>85</v>
      </c>
      <c r="B183" t="s">
        <v>1</v>
      </c>
      <c r="C183" t="s">
        <v>80</v>
      </c>
      <c r="D183" t="s">
        <v>3</v>
      </c>
      <c r="E183" s="2">
        <v>51016.61</v>
      </c>
      <c r="F183" t="s">
        <v>4</v>
      </c>
      <c r="G183" t="s">
        <v>0</v>
      </c>
      <c r="H183" t="s">
        <v>82</v>
      </c>
      <c r="I183" t="s">
        <v>0</v>
      </c>
      <c r="J183" t="s">
        <v>74</v>
      </c>
      <c r="K183" t="s">
        <v>6</v>
      </c>
      <c r="L183" t="s">
        <v>74</v>
      </c>
    </row>
    <row r="184" spans="1:12" ht="14.1" customHeight="1" x14ac:dyDescent="0.2">
      <c r="A184" s="5" t="s">
        <v>85</v>
      </c>
      <c r="B184" t="s">
        <v>1</v>
      </c>
      <c r="C184" t="s">
        <v>80</v>
      </c>
      <c r="D184" t="s">
        <v>3</v>
      </c>
      <c r="E184" s="2">
        <v>69025.3</v>
      </c>
      <c r="F184" t="s">
        <v>4</v>
      </c>
      <c r="G184" t="s">
        <v>0</v>
      </c>
      <c r="H184" t="s">
        <v>82</v>
      </c>
      <c r="I184" t="s">
        <v>0</v>
      </c>
      <c r="J184" t="s">
        <v>74</v>
      </c>
      <c r="K184" t="s">
        <v>6</v>
      </c>
      <c r="L184" t="s">
        <v>74</v>
      </c>
    </row>
    <row r="185" spans="1:12" ht="14.1" customHeight="1" x14ac:dyDescent="0.2">
      <c r="A185" s="5" t="s">
        <v>85</v>
      </c>
      <c r="B185" t="s">
        <v>1</v>
      </c>
      <c r="C185" t="s">
        <v>80</v>
      </c>
      <c r="D185" t="s">
        <v>3</v>
      </c>
      <c r="E185" s="2">
        <v>252937.53</v>
      </c>
      <c r="F185" t="s">
        <v>4</v>
      </c>
      <c r="G185" t="s">
        <v>0</v>
      </c>
      <c r="H185" t="s">
        <v>82</v>
      </c>
      <c r="I185" t="s">
        <v>0</v>
      </c>
      <c r="J185" t="s">
        <v>76</v>
      </c>
      <c r="K185" t="s">
        <v>6</v>
      </c>
      <c r="L185" t="s">
        <v>76</v>
      </c>
    </row>
    <row r="186" spans="1:12" ht="14.1" customHeight="1" x14ac:dyDescent="0.2">
      <c r="A186" s="5" t="s">
        <v>85</v>
      </c>
      <c r="B186" t="s">
        <v>1</v>
      </c>
      <c r="C186" t="s">
        <v>80</v>
      </c>
      <c r="D186" t="s">
        <v>3</v>
      </c>
      <c r="E186" s="2">
        <v>11873.68</v>
      </c>
      <c r="F186" t="s">
        <v>4</v>
      </c>
      <c r="G186" t="s">
        <v>0</v>
      </c>
      <c r="H186" t="s">
        <v>82</v>
      </c>
      <c r="I186" t="s">
        <v>0</v>
      </c>
      <c r="J186" t="s">
        <v>74</v>
      </c>
      <c r="K186" t="s">
        <v>6</v>
      </c>
      <c r="L186" t="s">
        <v>74</v>
      </c>
    </row>
    <row r="187" spans="1:12" ht="14.1" customHeight="1" x14ac:dyDescent="0.2">
      <c r="A187" s="5" t="s">
        <v>85</v>
      </c>
      <c r="B187" t="s">
        <v>1</v>
      </c>
      <c r="C187" t="s">
        <v>80</v>
      </c>
      <c r="D187" t="s">
        <v>3</v>
      </c>
      <c r="E187" s="2">
        <v>37171.53</v>
      </c>
      <c r="F187" t="s">
        <v>4</v>
      </c>
      <c r="G187" t="s">
        <v>0</v>
      </c>
      <c r="H187" t="s">
        <v>82</v>
      </c>
      <c r="I187" t="s">
        <v>0</v>
      </c>
      <c r="J187" t="s">
        <v>74</v>
      </c>
      <c r="K187" t="s">
        <v>6</v>
      </c>
      <c r="L187" t="s">
        <v>74</v>
      </c>
    </row>
    <row r="188" spans="1:12" ht="14.1" customHeight="1" x14ac:dyDescent="0.2">
      <c r="A188" s="5" t="s">
        <v>85</v>
      </c>
      <c r="B188" t="s">
        <v>1</v>
      </c>
      <c r="C188" t="s">
        <v>80</v>
      </c>
      <c r="D188" t="s">
        <v>3</v>
      </c>
      <c r="E188" s="2">
        <v>43105.84</v>
      </c>
      <c r="F188" t="s">
        <v>4</v>
      </c>
      <c r="G188" t="s">
        <v>0</v>
      </c>
      <c r="H188" t="s">
        <v>82</v>
      </c>
      <c r="I188" t="s">
        <v>0</v>
      </c>
      <c r="J188" t="s">
        <v>76</v>
      </c>
      <c r="K188" t="s">
        <v>6</v>
      </c>
      <c r="L188" t="s">
        <v>76</v>
      </c>
    </row>
    <row r="189" spans="1:12" ht="14.1" customHeight="1" x14ac:dyDescent="0.2">
      <c r="A189" s="5" t="s">
        <v>85</v>
      </c>
      <c r="B189" t="s">
        <v>1</v>
      </c>
      <c r="C189" t="s">
        <v>80</v>
      </c>
      <c r="D189" t="s">
        <v>3</v>
      </c>
      <c r="E189" s="2">
        <v>10182.49</v>
      </c>
      <c r="F189" t="s">
        <v>4</v>
      </c>
      <c r="G189" t="s">
        <v>0</v>
      </c>
      <c r="H189" t="s">
        <v>82</v>
      </c>
      <c r="I189" t="s">
        <v>0</v>
      </c>
      <c r="J189" t="s">
        <v>76</v>
      </c>
      <c r="K189" t="s">
        <v>6</v>
      </c>
      <c r="L189" t="s">
        <v>76</v>
      </c>
    </row>
    <row r="190" spans="1:12" ht="14.1" customHeight="1" x14ac:dyDescent="0.2">
      <c r="A190" s="5" t="s">
        <v>85</v>
      </c>
      <c r="B190" t="s">
        <v>1</v>
      </c>
      <c r="C190" t="s">
        <v>80</v>
      </c>
      <c r="D190" t="s">
        <v>3</v>
      </c>
      <c r="E190" s="2">
        <v>6307.49</v>
      </c>
      <c r="F190" t="s">
        <v>4</v>
      </c>
      <c r="G190" t="s">
        <v>0</v>
      </c>
      <c r="H190" t="s">
        <v>82</v>
      </c>
      <c r="I190" t="s">
        <v>0</v>
      </c>
      <c r="J190" t="s">
        <v>76</v>
      </c>
      <c r="K190" t="s">
        <v>6</v>
      </c>
      <c r="L190" t="s">
        <v>76</v>
      </c>
    </row>
    <row r="191" spans="1:12" ht="14.1" customHeight="1" x14ac:dyDescent="0.2">
      <c r="A191" s="5" t="s">
        <v>85</v>
      </c>
      <c r="B191" t="s">
        <v>1</v>
      </c>
      <c r="C191" t="s">
        <v>80</v>
      </c>
      <c r="D191" t="s">
        <v>3</v>
      </c>
      <c r="E191" s="2">
        <v>3394.16</v>
      </c>
      <c r="F191" t="s">
        <v>4</v>
      </c>
      <c r="G191" t="s">
        <v>0</v>
      </c>
      <c r="H191" t="s">
        <v>82</v>
      </c>
      <c r="I191" t="s">
        <v>0</v>
      </c>
      <c r="J191" t="s">
        <v>76</v>
      </c>
      <c r="K191" t="s">
        <v>6</v>
      </c>
      <c r="L191" t="s">
        <v>76</v>
      </c>
    </row>
    <row r="192" spans="1:12" ht="14.1" customHeight="1" x14ac:dyDescent="0.2">
      <c r="A192" s="5" t="s">
        <v>85</v>
      </c>
      <c r="B192" t="s">
        <v>1</v>
      </c>
      <c r="C192" t="s">
        <v>80</v>
      </c>
      <c r="D192" t="s">
        <v>3</v>
      </c>
      <c r="E192" s="2">
        <v>1425.55</v>
      </c>
      <c r="F192" t="s">
        <v>4</v>
      </c>
      <c r="G192" t="s">
        <v>0</v>
      </c>
      <c r="H192" t="s">
        <v>82</v>
      </c>
      <c r="I192" t="s">
        <v>0</v>
      </c>
      <c r="J192" t="s">
        <v>76</v>
      </c>
      <c r="K192" t="s">
        <v>6</v>
      </c>
      <c r="L192" t="s">
        <v>76</v>
      </c>
    </row>
    <row r="193" spans="1:12" ht="14.1" customHeight="1" x14ac:dyDescent="0.2">
      <c r="A193" s="5" t="s">
        <v>85</v>
      </c>
      <c r="B193" t="s">
        <v>1</v>
      </c>
      <c r="C193" t="s">
        <v>80</v>
      </c>
      <c r="D193" t="s">
        <v>3</v>
      </c>
      <c r="E193" s="2">
        <v>10171.17</v>
      </c>
      <c r="F193" t="s">
        <v>4</v>
      </c>
      <c r="G193" t="s">
        <v>0</v>
      </c>
      <c r="H193" t="s">
        <v>82</v>
      </c>
      <c r="I193" t="s">
        <v>0</v>
      </c>
      <c r="J193" t="s">
        <v>76</v>
      </c>
      <c r="K193" t="s">
        <v>6</v>
      </c>
      <c r="L193" t="s">
        <v>76</v>
      </c>
    </row>
    <row r="194" spans="1:12" ht="14.1" customHeight="1" x14ac:dyDescent="0.2">
      <c r="A194" s="5" t="s">
        <v>85</v>
      </c>
      <c r="B194" t="s">
        <v>1</v>
      </c>
      <c r="C194" t="s">
        <v>80</v>
      </c>
      <c r="D194" t="s">
        <v>3</v>
      </c>
      <c r="E194" s="2">
        <v>6.95</v>
      </c>
      <c r="F194" t="s">
        <v>4</v>
      </c>
      <c r="G194" t="s">
        <v>0</v>
      </c>
      <c r="H194" t="s">
        <v>82</v>
      </c>
      <c r="I194" t="s">
        <v>0</v>
      </c>
      <c r="J194" t="s">
        <v>76</v>
      </c>
      <c r="K194" t="s">
        <v>6</v>
      </c>
      <c r="L194" t="s">
        <v>76</v>
      </c>
    </row>
    <row r="195" spans="1:12" ht="14.1" customHeight="1" x14ac:dyDescent="0.2">
      <c r="A195" s="5" t="s">
        <v>85</v>
      </c>
      <c r="B195" t="s">
        <v>1</v>
      </c>
      <c r="C195" t="s">
        <v>80</v>
      </c>
      <c r="D195" t="s">
        <v>3</v>
      </c>
      <c r="E195" s="2">
        <v>46.58</v>
      </c>
      <c r="F195" t="s">
        <v>4</v>
      </c>
      <c r="G195" t="s">
        <v>0</v>
      </c>
      <c r="H195" t="s">
        <v>82</v>
      </c>
      <c r="I195" t="s">
        <v>0</v>
      </c>
      <c r="J195" t="s">
        <v>76</v>
      </c>
      <c r="K195" t="s">
        <v>6</v>
      </c>
      <c r="L195" t="s">
        <v>76</v>
      </c>
    </row>
    <row r="196" spans="1:12" ht="14.1" customHeight="1" x14ac:dyDescent="0.2">
      <c r="A196" s="5" t="s">
        <v>85</v>
      </c>
      <c r="B196" t="s">
        <v>1</v>
      </c>
      <c r="C196" t="s">
        <v>80</v>
      </c>
      <c r="D196" t="s">
        <v>3</v>
      </c>
      <c r="E196" s="2">
        <v>355414.37</v>
      </c>
      <c r="F196" t="s">
        <v>4</v>
      </c>
      <c r="G196" t="s">
        <v>0</v>
      </c>
      <c r="H196" t="s">
        <v>82</v>
      </c>
      <c r="I196" t="s">
        <v>0</v>
      </c>
      <c r="J196" t="s">
        <v>76</v>
      </c>
      <c r="K196" t="s">
        <v>6</v>
      </c>
      <c r="L196" t="s">
        <v>76</v>
      </c>
    </row>
    <row r="197" spans="1:12" ht="14.1" customHeight="1" x14ac:dyDescent="0.2">
      <c r="A197" s="5" t="s">
        <v>85</v>
      </c>
      <c r="B197" t="s">
        <v>1</v>
      </c>
      <c r="C197" t="s">
        <v>80</v>
      </c>
      <c r="D197" t="s">
        <v>3</v>
      </c>
      <c r="E197" s="2">
        <v>7751.41</v>
      </c>
      <c r="F197" t="s">
        <v>4</v>
      </c>
      <c r="G197" t="s">
        <v>0</v>
      </c>
      <c r="H197" t="s">
        <v>82</v>
      </c>
      <c r="I197" t="s">
        <v>0</v>
      </c>
      <c r="J197" t="s">
        <v>74</v>
      </c>
      <c r="K197" t="s">
        <v>6</v>
      </c>
      <c r="L197" t="s">
        <v>74</v>
      </c>
    </row>
    <row r="198" spans="1:12" ht="14.1" customHeight="1" x14ac:dyDescent="0.2">
      <c r="A198" s="5" t="s">
        <v>85</v>
      </c>
      <c r="B198" t="s">
        <v>1</v>
      </c>
      <c r="C198" t="s">
        <v>80</v>
      </c>
      <c r="D198" t="s">
        <v>3</v>
      </c>
      <c r="E198" s="2">
        <v>47780.959999999999</v>
      </c>
      <c r="F198" t="s">
        <v>4</v>
      </c>
      <c r="G198" t="s">
        <v>0</v>
      </c>
      <c r="H198" t="s">
        <v>82</v>
      </c>
      <c r="I198" t="s">
        <v>0</v>
      </c>
      <c r="J198" t="s">
        <v>76</v>
      </c>
      <c r="K198" t="s">
        <v>6</v>
      </c>
      <c r="L198" t="s">
        <v>76</v>
      </c>
    </row>
    <row r="199" spans="1:12" ht="14.1" customHeight="1" x14ac:dyDescent="0.2">
      <c r="A199" s="5" t="s">
        <v>85</v>
      </c>
      <c r="B199" t="s">
        <v>1</v>
      </c>
      <c r="C199" t="s">
        <v>80</v>
      </c>
      <c r="D199" t="s">
        <v>3</v>
      </c>
      <c r="E199" s="2">
        <v>1459953.16</v>
      </c>
      <c r="F199" t="s">
        <v>4</v>
      </c>
      <c r="G199" t="s">
        <v>0</v>
      </c>
      <c r="H199" t="s">
        <v>82</v>
      </c>
      <c r="I199" t="s">
        <v>0</v>
      </c>
      <c r="J199" t="s">
        <v>76</v>
      </c>
      <c r="K199" t="s">
        <v>6</v>
      </c>
      <c r="L199" t="s">
        <v>76</v>
      </c>
    </row>
    <row r="200" spans="1:12" ht="14.1" customHeight="1" x14ac:dyDescent="0.2">
      <c r="A200" s="5" t="s">
        <v>85</v>
      </c>
      <c r="B200" t="s">
        <v>1</v>
      </c>
      <c r="C200" t="s">
        <v>80</v>
      </c>
      <c r="D200" t="s">
        <v>3</v>
      </c>
      <c r="E200" s="2">
        <v>89376.02</v>
      </c>
      <c r="F200" t="s">
        <v>4</v>
      </c>
      <c r="G200" t="s">
        <v>0</v>
      </c>
      <c r="H200" t="s">
        <v>82</v>
      </c>
      <c r="I200" t="s">
        <v>0</v>
      </c>
      <c r="J200" t="s">
        <v>76</v>
      </c>
      <c r="K200" t="s">
        <v>6</v>
      </c>
      <c r="L200" t="s">
        <v>76</v>
      </c>
    </row>
    <row r="201" spans="1:12" ht="14.1" customHeight="1" x14ac:dyDescent="0.2">
      <c r="A201" s="5" t="s">
        <v>85</v>
      </c>
      <c r="B201" t="s">
        <v>1</v>
      </c>
      <c r="C201" t="s">
        <v>80</v>
      </c>
      <c r="D201" t="s">
        <v>3</v>
      </c>
      <c r="E201" s="2">
        <v>329829.03000000003</v>
      </c>
      <c r="F201" t="s">
        <v>4</v>
      </c>
      <c r="G201" t="s">
        <v>0</v>
      </c>
      <c r="H201" t="s">
        <v>82</v>
      </c>
      <c r="I201" t="s">
        <v>0</v>
      </c>
      <c r="J201" t="s">
        <v>76</v>
      </c>
      <c r="K201" t="s">
        <v>6</v>
      </c>
      <c r="L201" t="s">
        <v>76</v>
      </c>
    </row>
    <row r="202" spans="1:12" ht="14.1" customHeight="1" x14ac:dyDescent="0.2">
      <c r="A202" s="5" t="s">
        <v>85</v>
      </c>
      <c r="B202" t="s">
        <v>1</v>
      </c>
      <c r="C202" t="s">
        <v>80</v>
      </c>
      <c r="D202" t="s">
        <v>3</v>
      </c>
      <c r="E202" s="2">
        <v>74426.399999999994</v>
      </c>
      <c r="F202" t="s">
        <v>4</v>
      </c>
      <c r="G202" t="s">
        <v>0</v>
      </c>
      <c r="H202" t="s">
        <v>82</v>
      </c>
      <c r="I202" t="s">
        <v>0</v>
      </c>
      <c r="J202" t="s">
        <v>76</v>
      </c>
      <c r="K202" t="s">
        <v>6</v>
      </c>
      <c r="L202" t="s">
        <v>76</v>
      </c>
    </row>
    <row r="203" spans="1:12" ht="14.1" customHeight="1" x14ac:dyDescent="0.2">
      <c r="A203" s="5" t="s">
        <v>85</v>
      </c>
      <c r="B203" t="s">
        <v>1</v>
      </c>
      <c r="C203" t="s">
        <v>80</v>
      </c>
      <c r="D203" t="s">
        <v>3</v>
      </c>
      <c r="E203" s="2">
        <v>49668.959999999999</v>
      </c>
      <c r="F203" t="s">
        <v>4</v>
      </c>
      <c r="G203" t="s">
        <v>0</v>
      </c>
      <c r="H203" t="s">
        <v>82</v>
      </c>
      <c r="I203" t="s">
        <v>0</v>
      </c>
      <c r="J203" t="s">
        <v>76</v>
      </c>
      <c r="K203" t="s">
        <v>6</v>
      </c>
      <c r="L203" t="s">
        <v>76</v>
      </c>
    </row>
    <row r="204" spans="1:12" ht="14.1" customHeight="1" x14ac:dyDescent="0.2">
      <c r="A204" s="5" t="s">
        <v>85</v>
      </c>
      <c r="B204" t="s">
        <v>1</v>
      </c>
      <c r="C204" t="s">
        <v>80</v>
      </c>
      <c r="D204" t="s">
        <v>3</v>
      </c>
      <c r="E204" s="2">
        <v>612786.89</v>
      </c>
      <c r="F204" t="s">
        <v>4</v>
      </c>
      <c r="G204" t="s">
        <v>0</v>
      </c>
      <c r="H204" t="s">
        <v>82</v>
      </c>
      <c r="I204" t="s">
        <v>0</v>
      </c>
      <c r="J204" t="s">
        <v>76</v>
      </c>
      <c r="K204" t="s">
        <v>6</v>
      </c>
      <c r="L204" t="s">
        <v>76</v>
      </c>
    </row>
    <row r="205" spans="1:12" ht="14.1" customHeight="1" x14ac:dyDescent="0.2">
      <c r="A205" s="5" t="s">
        <v>85</v>
      </c>
      <c r="B205" t="s">
        <v>1</v>
      </c>
      <c r="C205" t="s">
        <v>80</v>
      </c>
      <c r="D205" t="s">
        <v>3</v>
      </c>
      <c r="E205" s="2">
        <v>191848.13</v>
      </c>
      <c r="F205" t="s">
        <v>4</v>
      </c>
      <c r="G205" t="s">
        <v>0</v>
      </c>
      <c r="H205" t="s">
        <v>82</v>
      </c>
      <c r="I205" t="s">
        <v>0</v>
      </c>
      <c r="J205" t="s">
        <v>76</v>
      </c>
      <c r="K205" t="s">
        <v>6</v>
      </c>
      <c r="L205" t="s">
        <v>76</v>
      </c>
    </row>
    <row r="206" spans="1:12" ht="14.1" customHeight="1" x14ac:dyDescent="0.2">
      <c r="A206" s="5" t="s">
        <v>85</v>
      </c>
      <c r="B206" t="s">
        <v>1</v>
      </c>
      <c r="C206" t="s">
        <v>80</v>
      </c>
      <c r="D206" t="s">
        <v>3</v>
      </c>
      <c r="E206" s="2">
        <v>360215.47</v>
      </c>
      <c r="F206" t="s">
        <v>4</v>
      </c>
      <c r="G206" t="s">
        <v>0</v>
      </c>
      <c r="H206" t="s">
        <v>82</v>
      </c>
      <c r="I206" t="s">
        <v>0</v>
      </c>
      <c r="J206" t="s">
        <v>76</v>
      </c>
      <c r="K206" t="s">
        <v>6</v>
      </c>
      <c r="L206" t="s">
        <v>76</v>
      </c>
    </row>
    <row r="207" spans="1:12" ht="14.1" customHeight="1" x14ac:dyDescent="0.2">
      <c r="A207" s="5" t="s">
        <v>85</v>
      </c>
      <c r="B207" t="s">
        <v>1</v>
      </c>
      <c r="C207" t="s">
        <v>80</v>
      </c>
      <c r="D207" t="s">
        <v>3</v>
      </c>
      <c r="E207" s="2">
        <v>146818.75</v>
      </c>
      <c r="F207" t="s">
        <v>4</v>
      </c>
      <c r="G207" t="s">
        <v>0</v>
      </c>
      <c r="H207" t="s">
        <v>82</v>
      </c>
      <c r="I207" t="s">
        <v>0</v>
      </c>
      <c r="J207" t="s">
        <v>76</v>
      </c>
      <c r="K207" t="s">
        <v>6</v>
      </c>
      <c r="L207" t="s">
        <v>76</v>
      </c>
    </row>
    <row r="208" spans="1:12" ht="14.1" customHeight="1" x14ac:dyDescent="0.2">
      <c r="A208" s="5" t="s">
        <v>85</v>
      </c>
      <c r="B208" t="s">
        <v>1</v>
      </c>
      <c r="C208" t="s">
        <v>80</v>
      </c>
      <c r="D208" t="s">
        <v>3</v>
      </c>
      <c r="E208" s="2">
        <v>45032.56</v>
      </c>
      <c r="F208" t="s">
        <v>4</v>
      </c>
      <c r="G208" t="s">
        <v>0</v>
      </c>
      <c r="H208" t="s">
        <v>82</v>
      </c>
      <c r="I208" t="s">
        <v>0</v>
      </c>
      <c r="J208" t="s">
        <v>76</v>
      </c>
      <c r="K208" t="s">
        <v>6</v>
      </c>
      <c r="L208" t="s">
        <v>76</v>
      </c>
    </row>
    <row r="209" spans="1:12" ht="14.1" customHeight="1" x14ac:dyDescent="0.2">
      <c r="A209" s="5" t="s">
        <v>85</v>
      </c>
      <c r="B209" t="s">
        <v>1</v>
      </c>
      <c r="C209" t="s">
        <v>80</v>
      </c>
      <c r="D209" t="s">
        <v>3</v>
      </c>
      <c r="E209" s="2">
        <v>144838.16</v>
      </c>
      <c r="F209" t="s">
        <v>4</v>
      </c>
      <c r="G209" t="s">
        <v>0</v>
      </c>
      <c r="H209" t="s">
        <v>82</v>
      </c>
      <c r="I209" t="s">
        <v>0</v>
      </c>
      <c r="J209" t="s">
        <v>76</v>
      </c>
      <c r="K209" t="s">
        <v>6</v>
      </c>
      <c r="L209" t="s">
        <v>76</v>
      </c>
    </row>
    <row r="210" spans="1:12" ht="14.1" customHeight="1" x14ac:dyDescent="0.2">
      <c r="A210" s="5" t="s">
        <v>85</v>
      </c>
      <c r="B210" t="s">
        <v>1</v>
      </c>
      <c r="C210" t="s">
        <v>80</v>
      </c>
      <c r="D210" t="s">
        <v>3</v>
      </c>
      <c r="E210" s="2">
        <v>13167.1</v>
      </c>
      <c r="F210" t="s">
        <v>4</v>
      </c>
      <c r="G210" t="s">
        <v>0</v>
      </c>
      <c r="H210" t="s">
        <v>82</v>
      </c>
      <c r="I210" t="s">
        <v>0</v>
      </c>
      <c r="J210" t="s">
        <v>76</v>
      </c>
      <c r="K210" t="s">
        <v>6</v>
      </c>
      <c r="L210" t="s">
        <v>76</v>
      </c>
    </row>
    <row r="211" spans="1:12" ht="14.1" customHeight="1" x14ac:dyDescent="0.2">
      <c r="A211" s="5" t="s">
        <v>85</v>
      </c>
      <c r="B211" t="s">
        <v>1</v>
      </c>
      <c r="C211" t="s">
        <v>80</v>
      </c>
      <c r="D211" t="s">
        <v>3</v>
      </c>
      <c r="E211" s="2">
        <v>2735.79</v>
      </c>
      <c r="F211" t="s">
        <v>4</v>
      </c>
      <c r="G211" t="s">
        <v>0</v>
      </c>
      <c r="H211" t="s">
        <v>82</v>
      </c>
      <c r="I211" t="s">
        <v>0</v>
      </c>
      <c r="J211" t="s">
        <v>76</v>
      </c>
      <c r="K211" t="s">
        <v>6</v>
      </c>
      <c r="L211" t="s">
        <v>76</v>
      </c>
    </row>
    <row r="212" spans="1:12" ht="14.1" customHeight="1" x14ac:dyDescent="0.2">
      <c r="A212" s="5" t="s">
        <v>85</v>
      </c>
      <c r="B212" t="s">
        <v>1</v>
      </c>
      <c r="C212" t="s">
        <v>80</v>
      </c>
      <c r="D212" t="s">
        <v>3</v>
      </c>
      <c r="E212" s="2">
        <v>2565.35</v>
      </c>
      <c r="F212" t="s">
        <v>4</v>
      </c>
      <c r="G212" t="s">
        <v>0</v>
      </c>
      <c r="H212" t="s">
        <v>82</v>
      </c>
      <c r="I212" t="s">
        <v>0</v>
      </c>
      <c r="J212" t="s">
        <v>76</v>
      </c>
      <c r="K212" t="s">
        <v>6</v>
      </c>
      <c r="L212" t="s">
        <v>76</v>
      </c>
    </row>
    <row r="213" spans="1:12" ht="14.1" customHeight="1" x14ac:dyDescent="0.2">
      <c r="A213" s="5" t="s">
        <v>85</v>
      </c>
      <c r="B213" t="s">
        <v>1</v>
      </c>
      <c r="C213" t="s">
        <v>80</v>
      </c>
      <c r="D213" t="s">
        <v>3</v>
      </c>
      <c r="E213" s="2">
        <v>4.07</v>
      </c>
      <c r="F213" t="s">
        <v>4</v>
      </c>
      <c r="G213" t="s">
        <v>0</v>
      </c>
      <c r="H213" t="s">
        <v>82</v>
      </c>
      <c r="I213" t="s">
        <v>0</v>
      </c>
      <c r="J213" t="s">
        <v>74</v>
      </c>
      <c r="K213" t="s">
        <v>6</v>
      </c>
      <c r="L213" t="s">
        <v>74</v>
      </c>
    </row>
    <row r="214" spans="1:12" ht="14.1" customHeight="1" x14ac:dyDescent="0.2">
      <c r="A214" s="5" t="s">
        <v>85</v>
      </c>
      <c r="B214" t="s">
        <v>1</v>
      </c>
      <c r="C214" t="s">
        <v>80</v>
      </c>
      <c r="D214" t="s">
        <v>3</v>
      </c>
      <c r="E214" s="2">
        <v>5.66</v>
      </c>
      <c r="F214" t="s">
        <v>4</v>
      </c>
      <c r="G214" t="s">
        <v>0</v>
      </c>
      <c r="H214" t="s">
        <v>82</v>
      </c>
      <c r="I214" t="s">
        <v>0</v>
      </c>
      <c r="J214" t="s">
        <v>74</v>
      </c>
      <c r="K214" t="s">
        <v>6</v>
      </c>
      <c r="L214" t="s">
        <v>74</v>
      </c>
    </row>
    <row r="215" spans="1:12" ht="14.1" customHeight="1" x14ac:dyDescent="0.2">
      <c r="A215" s="5" t="s">
        <v>85</v>
      </c>
      <c r="B215" t="s">
        <v>1</v>
      </c>
      <c r="C215" t="s">
        <v>80</v>
      </c>
      <c r="D215" t="s">
        <v>3</v>
      </c>
      <c r="E215" s="2">
        <v>2.04</v>
      </c>
      <c r="F215" t="s">
        <v>4</v>
      </c>
      <c r="G215" t="s">
        <v>0</v>
      </c>
      <c r="H215" t="s">
        <v>82</v>
      </c>
      <c r="I215" t="s">
        <v>0</v>
      </c>
      <c r="J215" t="s">
        <v>74</v>
      </c>
      <c r="K215" t="s">
        <v>6</v>
      </c>
      <c r="L215" t="s">
        <v>74</v>
      </c>
    </row>
    <row r="216" spans="1:12" ht="14.1" customHeight="1" x14ac:dyDescent="0.2">
      <c r="A216" s="5" t="s">
        <v>85</v>
      </c>
      <c r="B216" t="s">
        <v>1</v>
      </c>
      <c r="C216" t="s">
        <v>80</v>
      </c>
      <c r="D216" t="s">
        <v>3</v>
      </c>
      <c r="E216" s="2">
        <v>2.04</v>
      </c>
      <c r="F216" t="s">
        <v>4</v>
      </c>
      <c r="G216" t="s">
        <v>0</v>
      </c>
      <c r="H216" t="s">
        <v>82</v>
      </c>
      <c r="I216" t="s">
        <v>0</v>
      </c>
      <c r="J216" t="s">
        <v>74</v>
      </c>
      <c r="K216" t="s">
        <v>6</v>
      </c>
      <c r="L216" t="s">
        <v>74</v>
      </c>
    </row>
    <row r="217" spans="1:12" ht="14.1" customHeight="1" x14ac:dyDescent="0.2">
      <c r="A217" s="5" t="s">
        <v>85</v>
      </c>
      <c r="B217" t="s">
        <v>1</v>
      </c>
      <c r="C217" t="s">
        <v>80</v>
      </c>
      <c r="D217" t="s">
        <v>3</v>
      </c>
      <c r="E217" s="2">
        <v>2.04</v>
      </c>
      <c r="F217" t="s">
        <v>4</v>
      </c>
      <c r="G217" t="s">
        <v>0</v>
      </c>
      <c r="H217" t="s">
        <v>82</v>
      </c>
      <c r="I217" t="s">
        <v>0</v>
      </c>
      <c r="J217" t="s">
        <v>74</v>
      </c>
      <c r="K217" t="s">
        <v>6</v>
      </c>
      <c r="L217" t="s">
        <v>74</v>
      </c>
    </row>
    <row r="218" spans="1:12" ht="14.1" customHeight="1" x14ac:dyDescent="0.2">
      <c r="A218" s="5" t="s">
        <v>85</v>
      </c>
      <c r="B218" t="s">
        <v>1</v>
      </c>
      <c r="C218" t="s">
        <v>80</v>
      </c>
      <c r="D218" t="s">
        <v>3</v>
      </c>
      <c r="E218" s="2">
        <v>2.04</v>
      </c>
      <c r="F218" t="s">
        <v>4</v>
      </c>
      <c r="G218" t="s">
        <v>0</v>
      </c>
      <c r="H218" t="s">
        <v>82</v>
      </c>
      <c r="I218" t="s">
        <v>0</v>
      </c>
      <c r="J218" t="s">
        <v>74</v>
      </c>
      <c r="K218" t="s">
        <v>6</v>
      </c>
      <c r="L218" t="s">
        <v>74</v>
      </c>
    </row>
    <row r="219" spans="1:12" ht="14.1" customHeight="1" x14ac:dyDescent="0.2">
      <c r="A219" s="5" t="s">
        <v>85</v>
      </c>
      <c r="B219" t="s">
        <v>1</v>
      </c>
      <c r="C219" t="s">
        <v>80</v>
      </c>
      <c r="D219" t="s">
        <v>3</v>
      </c>
      <c r="E219" s="2">
        <v>2.04</v>
      </c>
      <c r="F219" t="s">
        <v>4</v>
      </c>
      <c r="G219" t="s">
        <v>0</v>
      </c>
      <c r="H219" t="s">
        <v>82</v>
      </c>
      <c r="I219" t="s">
        <v>0</v>
      </c>
      <c r="J219" t="s">
        <v>74</v>
      </c>
      <c r="K219" t="s">
        <v>6</v>
      </c>
      <c r="L219" t="s">
        <v>74</v>
      </c>
    </row>
    <row r="220" spans="1:12" ht="14.1" customHeight="1" x14ac:dyDescent="0.2">
      <c r="A220" s="5" t="s">
        <v>85</v>
      </c>
      <c r="B220" t="s">
        <v>1</v>
      </c>
      <c r="C220" t="s">
        <v>80</v>
      </c>
      <c r="D220" t="s">
        <v>3</v>
      </c>
      <c r="E220" s="2">
        <v>2.04</v>
      </c>
      <c r="F220" t="s">
        <v>4</v>
      </c>
      <c r="G220" t="s">
        <v>0</v>
      </c>
      <c r="H220" t="s">
        <v>82</v>
      </c>
      <c r="I220" t="s">
        <v>0</v>
      </c>
      <c r="J220" t="s">
        <v>74</v>
      </c>
      <c r="K220" t="s">
        <v>6</v>
      </c>
      <c r="L220" t="s">
        <v>74</v>
      </c>
    </row>
    <row r="221" spans="1:12" ht="14.1" customHeight="1" x14ac:dyDescent="0.2">
      <c r="A221" s="5" t="s">
        <v>85</v>
      </c>
      <c r="B221" t="s">
        <v>1</v>
      </c>
      <c r="C221" t="s">
        <v>80</v>
      </c>
      <c r="D221" t="s">
        <v>3</v>
      </c>
      <c r="E221" s="2">
        <v>47136.98</v>
      </c>
      <c r="F221" t="s">
        <v>4</v>
      </c>
      <c r="G221" t="s">
        <v>0</v>
      </c>
      <c r="H221" t="s">
        <v>82</v>
      </c>
      <c r="I221" t="s">
        <v>0</v>
      </c>
      <c r="J221" t="s">
        <v>76</v>
      </c>
      <c r="K221" t="s">
        <v>6</v>
      </c>
      <c r="L221" t="s">
        <v>76</v>
      </c>
    </row>
    <row r="222" spans="1:12" ht="14.1" customHeight="1" x14ac:dyDescent="0.2">
      <c r="A222" s="5" t="s">
        <v>85</v>
      </c>
      <c r="B222" t="s">
        <v>1</v>
      </c>
      <c r="C222" t="s">
        <v>80</v>
      </c>
      <c r="D222" t="s">
        <v>3</v>
      </c>
      <c r="E222" s="2">
        <v>7206.68</v>
      </c>
      <c r="F222" t="s">
        <v>4</v>
      </c>
      <c r="G222" t="s">
        <v>0</v>
      </c>
      <c r="H222" t="s">
        <v>82</v>
      </c>
      <c r="I222" t="s">
        <v>0</v>
      </c>
      <c r="J222" t="s">
        <v>76</v>
      </c>
      <c r="K222" t="s">
        <v>6</v>
      </c>
      <c r="L222" t="s">
        <v>76</v>
      </c>
    </row>
    <row r="223" spans="1:12" ht="14.1" customHeight="1" x14ac:dyDescent="0.2">
      <c r="A223" s="5" t="s">
        <v>85</v>
      </c>
      <c r="B223" t="s">
        <v>1</v>
      </c>
      <c r="C223" t="s">
        <v>80</v>
      </c>
      <c r="D223" t="s">
        <v>3</v>
      </c>
      <c r="E223" s="2">
        <v>7206.68</v>
      </c>
      <c r="F223" t="s">
        <v>4</v>
      </c>
      <c r="G223" t="s">
        <v>0</v>
      </c>
      <c r="H223" t="s">
        <v>82</v>
      </c>
      <c r="I223" t="s">
        <v>0</v>
      </c>
      <c r="J223" t="s">
        <v>76</v>
      </c>
      <c r="K223" t="s">
        <v>6</v>
      </c>
      <c r="L223" t="s">
        <v>76</v>
      </c>
    </row>
    <row r="224" spans="1:12" ht="14.1" customHeight="1" x14ac:dyDescent="0.2">
      <c r="A224" s="5" t="s">
        <v>85</v>
      </c>
      <c r="B224" t="s">
        <v>1</v>
      </c>
      <c r="C224" t="s">
        <v>80</v>
      </c>
      <c r="D224" t="s">
        <v>3</v>
      </c>
      <c r="E224" s="2">
        <v>17816.75</v>
      </c>
      <c r="F224" t="s">
        <v>4</v>
      </c>
      <c r="G224" t="s">
        <v>0</v>
      </c>
      <c r="H224" t="s">
        <v>82</v>
      </c>
      <c r="I224" t="s">
        <v>0</v>
      </c>
      <c r="J224" t="s">
        <v>76</v>
      </c>
      <c r="K224" t="s">
        <v>6</v>
      </c>
      <c r="L224" t="s">
        <v>76</v>
      </c>
    </row>
    <row r="225" spans="1:12" ht="14.1" customHeight="1" x14ac:dyDescent="0.2">
      <c r="A225" s="5" t="s">
        <v>85</v>
      </c>
      <c r="B225" t="s">
        <v>1</v>
      </c>
      <c r="C225" t="s">
        <v>80</v>
      </c>
      <c r="D225" t="s">
        <v>3</v>
      </c>
      <c r="E225" s="2">
        <v>25479.46</v>
      </c>
      <c r="F225" t="s">
        <v>4</v>
      </c>
      <c r="G225" t="s">
        <v>0</v>
      </c>
      <c r="H225" t="s">
        <v>82</v>
      </c>
      <c r="I225" t="s">
        <v>0</v>
      </c>
      <c r="J225" t="s">
        <v>76</v>
      </c>
      <c r="K225" t="s">
        <v>6</v>
      </c>
      <c r="L225" t="s">
        <v>76</v>
      </c>
    </row>
    <row r="226" spans="1:12" ht="14.1" customHeight="1" x14ac:dyDescent="0.2">
      <c r="A226" s="5" t="s">
        <v>85</v>
      </c>
      <c r="B226" t="s">
        <v>1</v>
      </c>
      <c r="C226" t="s">
        <v>80</v>
      </c>
      <c r="D226" t="s">
        <v>3</v>
      </c>
      <c r="E226" s="2">
        <v>21232.880000000001</v>
      </c>
      <c r="F226" t="s">
        <v>4</v>
      </c>
      <c r="G226" t="s">
        <v>0</v>
      </c>
      <c r="H226" t="s">
        <v>82</v>
      </c>
      <c r="I226" t="s">
        <v>0</v>
      </c>
      <c r="J226" t="s">
        <v>76</v>
      </c>
      <c r="K226" t="s">
        <v>6</v>
      </c>
      <c r="L226" t="s">
        <v>76</v>
      </c>
    </row>
    <row r="227" spans="1:12" ht="14.1" customHeight="1" x14ac:dyDescent="0.2">
      <c r="A227" s="5" t="s">
        <v>85</v>
      </c>
      <c r="B227" t="s">
        <v>1</v>
      </c>
      <c r="C227" t="s">
        <v>80</v>
      </c>
      <c r="D227" t="s">
        <v>3</v>
      </c>
      <c r="E227" s="2">
        <v>14947.95</v>
      </c>
      <c r="F227" t="s">
        <v>4</v>
      </c>
      <c r="G227" t="s">
        <v>0</v>
      </c>
      <c r="H227" t="s">
        <v>82</v>
      </c>
      <c r="I227" t="s">
        <v>0</v>
      </c>
      <c r="J227" t="s">
        <v>74</v>
      </c>
      <c r="K227" t="s">
        <v>6</v>
      </c>
      <c r="L227" t="s">
        <v>74</v>
      </c>
    </row>
    <row r="228" spans="1:12" ht="14.1" customHeight="1" x14ac:dyDescent="0.2">
      <c r="A228" s="5" t="s">
        <v>85</v>
      </c>
      <c r="B228" t="s">
        <v>1</v>
      </c>
      <c r="C228" t="s">
        <v>80</v>
      </c>
      <c r="D228" t="s">
        <v>3</v>
      </c>
      <c r="E228" s="2">
        <v>17977.169999999998</v>
      </c>
      <c r="F228" t="s">
        <v>4</v>
      </c>
      <c r="G228" t="s">
        <v>0</v>
      </c>
      <c r="H228" t="s">
        <v>82</v>
      </c>
      <c r="I228" t="s">
        <v>0</v>
      </c>
      <c r="J228" t="s">
        <v>74</v>
      </c>
      <c r="K228" t="s">
        <v>6</v>
      </c>
      <c r="L228" t="s">
        <v>74</v>
      </c>
    </row>
    <row r="229" spans="1:12" ht="14.1" customHeight="1" x14ac:dyDescent="0.2">
      <c r="A229" s="5" t="s">
        <v>85</v>
      </c>
      <c r="B229" t="s">
        <v>1</v>
      </c>
      <c r="C229" t="s">
        <v>80</v>
      </c>
      <c r="D229" t="s">
        <v>3</v>
      </c>
      <c r="E229" s="2">
        <v>136598.17000000001</v>
      </c>
      <c r="F229" t="s">
        <v>4</v>
      </c>
      <c r="G229" t="s">
        <v>0</v>
      </c>
      <c r="H229" t="s">
        <v>82</v>
      </c>
      <c r="I229" t="s">
        <v>0</v>
      </c>
      <c r="J229" t="s">
        <v>74</v>
      </c>
      <c r="K229" t="s">
        <v>6</v>
      </c>
      <c r="L229" t="s">
        <v>74</v>
      </c>
    </row>
    <row r="230" spans="1:12" ht="14.1" customHeight="1" x14ac:dyDescent="0.2">
      <c r="A230" s="5" t="s">
        <v>85</v>
      </c>
      <c r="B230" t="s">
        <v>1</v>
      </c>
      <c r="C230" t="s">
        <v>80</v>
      </c>
      <c r="D230" t="s">
        <v>3</v>
      </c>
      <c r="E230" s="2">
        <v>415342.85</v>
      </c>
      <c r="F230" t="s">
        <v>4</v>
      </c>
      <c r="G230" t="s">
        <v>0</v>
      </c>
      <c r="H230" t="s">
        <v>82</v>
      </c>
      <c r="I230" t="s">
        <v>0</v>
      </c>
      <c r="J230" t="s">
        <v>74</v>
      </c>
      <c r="K230" t="s">
        <v>6</v>
      </c>
      <c r="L230" t="s">
        <v>74</v>
      </c>
    </row>
    <row r="231" spans="1:12" ht="14.1" customHeight="1" x14ac:dyDescent="0.2">
      <c r="A231" s="5" t="s">
        <v>85</v>
      </c>
      <c r="B231" t="s">
        <v>1</v>
      </c>
      <c r="C231" t="s">
        <v>80</v>
      </c>
      <c r="D231" t="s">
        <v>3</v>
      </c>
      <c r="E231" s="2">
        <v>3398.82</v>
      </c>
      <c r="F231" t="s">
        <v>4</v>
      </c>
      <c r="G231" t="s">
        <v>0</v>
      </c>
      <c r="H231" t="s">
        <v>82</v>
      </c>
      <c r="I231" t="s">
        <v>0</v>
      </c>
      <c r="J231" t="s">
        <v>74</v>
      </c>
      <c r="K231" t="s">
        <v>6</v>
      </c>
      <c r="L231" t="s">
        <v>74</v>
      </c>
    </row>
    <row r="232" spans="1:12" ht="14.1" customHeight="1" x14ac:dyDescent="0.2">
      <c r="A232" s="5" t="s">
        <v>85</v>
      </c>
      <c r="B232" t="s">
        <v>1</v>
      </c>
      <c r="C232" t="s">
        <v>80</v>
      </c>
      <c r="D232" t="s">
        <v>3</v>
      </c>
      <c r="E232" s="2">
        <v>10196.469999999999</v>
      </c>
      <c r="F232" t="s">
        <v>4</v>
      </c>
      <c r="G232" t="s">
        <v>0</v>
      </c>
      <c r="H232" t="s">
        <v>82</v>
      </c>
      <c r="I232" t="s">
        <v>0</v>
      </c>
      <c r="J232" t="s">
        <v>74</v>
      </c>
      <c r="K232" t="s">
        <v>6</v>
      </c>
      <c r="L232" t="s">
        <v>74</v>
      </c>
    </row>
    <row r="233" spans="1:12" ht="14.1" customHeight="1" x14ac:dyDescent="0.2">
      <c r="A233" s="5" t="s">
        <v>85</v>
      </c>
      <c r="B233" t="s">
        <v>1</v>
      </c>
      <c r="C233" t="s">
        <v>80</v>
      </c>
      <c r="D233" t="s">
        <v>3</v>
      </c>
      <c r="E233" s="2">
        <v>11265.64</v>
      </c>
      <c r="F233" t="s">
        <v>4</v>
      </c>
      <c r="G233" t="s">
        <v>0</v>
      </c>
      <c r="H233" t="s">
        <v>82</v>
      </c>
      <c r="I233" t="s">
        <v>0</v>
      </c>
      <c r="J233" t="s">
        <v>74</v>
      </c>
      <c r="K233" t="s">
        <v>6</v>
      </c>
      <c r="L233" t="s">
        <v>74</v>
      </c>
    </row>
    <row r="234" spans="1:12" ht="14.1" customHeight="1" x14ac:dyDescent="0.2">
      <c r="A234" s="5" t="s">
        <v>85</v>
      </c>
      <c r="B234" t="s">
        <v>1</v>
      </c>
      <c r="C234" t="s">
        <v>80</v>
      </c>
      <c r="D234" t="s">
        <v>3</v>
      </c>
      <c r="E234" s="2">
        <v>63660.39</v>
      </c>
      <c r="F234" t="s">
        <v>4</v>
      </c>
      <c r="G234" t="s">
        <v>0</v>
      </c>
      <c r="H234" t="s">
        <v>82</v>
      </c>
      <c r="I234" t="s">
        <v>0</v>
      </c>
      <c r="J234" t="s">
        <v>74</v>
      </c>
      <c r="K234" t="s">
        <v>6</v>
      </c>
      <c r="L234" t="s">
        <v>74</v>
      </c>
    </row>
    <row r="235" spans="1:12" ht="14.1" customHeight="1" x14ac:dyDescent="0.2">
      <c r="A235" s="5" t="s">
        <v>85</v>
      </c>
      <c r="B235" t="s">
        <v>1</v>
      </c>
      <c r="C235" t="s">
        <v>80</v>
      </c>
      <c r="D235" t="s">
        <v>3</v>
      </c>
      <c r="E235" s="2">
        <v>5396.47</v>
      </c>
      <c r="F235" t="s">
        <v>4</v>
      </c>
      <c r="G235" t="s">
        <v>0</v>
      </c>
      <c r="H235" t="s">
        <v>82</v>
      </c>
      <c r="I235" t="s">
        <v>0</v>
      </c>
      <c r="J235" t="s">
        <v>74</v>
      </c>
      <c r="K235" t="s">
        <v>6</v>
      </c>
      <c r="L235" t="s">
        <v>74</v>
      </c>
    </row>
    <row r="236" spans="1:12" ht="14.1" customHeight="1" x14ac:dyDescent="0.2">
      <c r="A236" s="5" t="s">
        <v>85</v>
      </c>
      <c r="B236" t="s">
        <v>1</v>
      </c>
      <c r="C236" t="s">
        <v>80</v>
      </c>
      <c r="D236" t="s">
        <v>3</v>
      </c>
      <c r="E236" s="2">
        <v>25762.560000000001</v>
      </c>
      <c r="F236" t="s">
        <v>4</v>
      </c>
      <c r="G236" t="s">
        <v>0</v>
      </c>
      <c r="H236" t="s">
        <v>82</v>
      </c>
      <c r="I236" t="s">
        <v>0</v>
      </c>
      <c r="J236" t="s">
        <v>76</v>
      </c>
      <c r="K236" t="s">
        <v>6</v>
      </c>
      <c r="L236" t="s">
        <v>76</v>
      </c>
    </row>
    <row r="237" spans="1:12" ht="14.1" customHeight="1" x14ac:dyDescent="0.2">
      <c r="A237" s="5" t="s">
        <v>85</v>
      </c>
      <c r="B237" t="s">
        <v>1</v>
      </c>
      <c r="C237" t="s">
        <v>80</v>
      </c>
      <c r="D237" t="s">
        <v>3</v>
      </c>
      <c r="E237" s="2">
        <v>19817.349999999999</v>
      </c>
      <c r="F237" t="s">
        <v>4</v>
      </c>
      <c r="G237" t="s">
        <v>0</v>
      </c>
      <c r="H237" t="s">
        <v>82</v>
      </c>
      <c r="I237" t="s">
        <v>0</v>
      </c>
      <c r="J237" t="s">
        <v>76</v>
      </c>
      <c r="K237" t="s">
        <v>6</v>
      </c>
      <c r="L237" t="s">
        <v>76</v>
      </c>
    </row>
    <row r="238" spans="1:12" ht="14.1" customHeight="1" x14ac:dyDescent="0.2">
      <c r="A238" s="5" t="s">
        <v>85</v>
      </c>
      <c r="B238" t="s">
        <v>1</v>
      </c>
      <c r="C238" t="s">
        <v>80</v>
      </c>
      <c r="D238" t="s">
        <v>3</v>
      </c>
      <c r="E238" s="2">
        <v>1981.73</v>
      </c>
      <c r="F238" t="s">
        <v>4</v>
      </c>
      <c r="G238" t="s">
        <v>0</v>
      </c>
      <c r="H238" t="s">
        <v>82</v>
      </c>
      <c r="I238" t="s">
        <v>0</v>
      </c>
      <c r="J238" t="s">
        <v>76</v>
      </c>
      <c r="K238" t="s">
        <v>6</v>
      </c>
      <c r="L238" t="s">
        <v>76</v>
      </c>
    </row>
    <row r="239" spans="1:12" ht="14.1" customHeight="1" x14ac:dyDescent="0.2">
      <c r="A239" s="5" t="s">
        <v>85</v>
      </c>
      <c r="B239" t="s">
        <v>1</v>
      </c>
      <c r="C239" t="s">
        <v>80</v>
      </c>
      <c r="D239" t="s">
        <v>3</v>
      </c>
      <c r="E239" s="2">
        <v>11324.2</v>
      </c>
      <c r="F239" t="s">
        <v>4</v>
      </c>
      <c r="G239" t="s">
        <v>0</v>
      </c>
      <c r="H239" t="s">
        <v>82</v>
      </c>
      <c r="I239" t="s">
        <v>0</v>
      </c>
      <c r="J239" t="s">
        <v>76</v>
      </c>
      <c r="K239" t="s">
        <v>6</v>
      </c>
      <c r="L239" t="s">
        <v>76</v>
      </c>
    </row>
    <row r="240" spans="1:12" ht="14.1" customHeight="1" x14ac:dyDescent="0.2">
      <c r="A240" s="5" t="s">
        <v>85</v>
      </c>
      <c r="B240" t="s">
        <v>1</v>
      </c>
      <c r="C240" t="s">
        <v>80</v>
      </c>
      <c r="D240" t="s">
        <v>3</v>
      </c>
      <c r="E240" s="2">
        <v>707.76</v>
      </c>
      <c r="F240" t="s">
        <v>4</v>
      </c>
      <c r="G240" t="s">
        <v>0</v>
      </c>
      <c r="H240" t="s">
        <v>82</v>
      </c>
      <c r="I240" t="s">
        <v>0</v>
      </c>
      <c r="J240" t="s">
        <v>76</v>
      </c>
      <c r="K240" t="s">
        <v>6</v>
      </c>
      <c r="L240" t="s">
        <v>76</v>
      </c>
    </row>
    <row r="241" spans="1:12" ht="14.1" customHeight="1" x14ac:dyDescent="0.2">
      <c r="A241" s="5" t="s">
        <v>85</v>
      </c>
      <c r="B241" t="s">
        <v>1</v>
      </c>
      <c r="C241" t="s">
        <v>80</v>
      </c>
      <c r="D241" t="s">
        <v>3</v>
      </c>
      <c r="E241" s="2">
        <v>1132.42</v>
      </c>
      <c r="F241" t="s">
        <v>4</v>
      </c>
      <c r="G241" t="s">
        <v>0</v>
      </c>
      <c r="H241" t="s">
        <v>82</v>
      </c>
      <c r="I241" t="s">
        <v>0</v>
      </c>
      <c r="J241" t="s">
        <v>76</v>
      </c>
      <c r="K241" t="s">
        <v>6</v>
      </c>
      <c r="L241" t="s">
        <v>76</v>
      </c>
    </row>
    <row r="242" spans="1:12" ht="14.1" customHeight="1" x14ac:dyDescent="0.2">
      <c r="A242" s="5" t="s">
        <v>85</v>
      </c>
      <c r="B242" t="s">
        <v>1</v>
      </c>
      <c r="C242" t="s">
        <v>80</v>
      </c>
      <c r="D242" t="s">
        <v>3</v>
      </c>
      <c r="E242" s="2">
        <v>20956</v>
      </c>
      <c r="F242" t="s">
        <v>4</v>
      </c>
      <c r="G242" t="s">
        <v>0</v>
      </c>
      <c r="H242" t="s">
        <v>82</v>
      </c>
      <c r="I242" t="s">
        <v>0</v>
      </c>
      <c r="J242" t="s">
        <v>76</v>
      </c>
      <c r="K242" t="s">
        <v>6</v>
      </c>
      <c r="L242" t="s">
        <v>76</v>
      </c>
    </row>
    <row r="243" spans="1:12" ht="14.1" customHeight="1" x14ac:dyDescent="0.2">
      <c r="A243" s="5" t="s">
        <v>85</v>
      </c>
      <c r="B243" t="s">
        <v>1</v>
      </c>
      <c r="C243" t="s">
        <v>80</v>
      </c>
      <c r="D243" t="s">
        <v>3</v>
      </c>
      <c r="E243" s="2">
        <v>4058.62</v>
      </c>
      <c r="F243" t="s">
        <v>4</v>
      </c>
      <c r="G243" t="s">
        <v>0</v>
      </c>
      <c r="H243" t="s">
        <v>82</v>
      </c>
      <c r="I243" t="s">
        <v>0</v>
      </c>
      <c r="J243" t="s">
        <v>74</v>
      </c>
      <c r="K243" t="s">
        <v>6</v>
      </c>
      <c r="L243" t="s">
        <v>74</v>
      </c>
    </row>
    <row r="244" spans="1:12" ht="14.1" customHeight="1" x14ac:dyDescent="0.2">
      <c r="A244" s="5" t="s">
        <v>85</v>
      </c>
      <c r="B244" t="s">
        <v>1</v>
      </c>
      <c r="C244" t="s">
        <v>80</v>
      </c>
      <c r="D244" t="s">
        <v>3</v>
      </c>
      <c r="E244" s="2">
        <v>2106.11</v>
      </c>
      <c r="F244" t="s">
        <v>4</v>
      </c>
      <c r="G244" t="s">
        <v>0</v>
      </c>
      <c r="H244" t="s">
        <v>82</v>
      </c>
      <c r="I244" t="s">
        <v>0</v>
      </c>
      <c r="J244" t="s">
        <v>74</v>
      </c>
      <c r="K244" t="s">
        <v>6</v>
      </c>
      <c r="L244" t="s">
        <v>74</v>
      </c>
    </row>
    <row r="245" spans="1:12" ht="14.1" customHeight="1" x14ac:dyDescent="0.2">
      <c r="A245" s="5" t="s">
        <v>85</v>
      </c>
      <c r="B245" t="s">
        <v>1</v>
      </c>
      <c r="C245" t="s">
        <v>80</v>
      </c>
      <c r="D245" t="s">
        <v>3</v>
      </c>
      <c r="E245" s="2">
        <v>4466.3100000000004</v>
      </c>
      <c r="F245" t="s">
        <v>4</v>
      </c>
      <c r="G245" t="s">
        <v>0</v>
      </c>
      <c r="H245" t="s">
        <v>82</v>
      </c>
      <c r="I245" t="s">
        <v>0</v>
      </c>
      <c r="J245" t="s">
        <v>74</v>
      </c>
      <c r="K245" t="s">
        <v>6</v>
      </c>
      <c r="L245" t="s">
        <v>74</v>
      </c>
    </row>
    <row r="246" spans="1:12" ht="14.1" customHeight="1" x14ac:dyDescent="0.2">
      <c r="A246" s="5" t="s">
        <v>85</v>
      </c>
      <c r="B246" t="s">
        <v>1</v>
      </c>
      <c r="C246" t="s">
        <v>80</v>
      </c>
      <c r="D246" t="s">
        <v>3</v>
      </c>
      <c r="E246" s="2">
        <v>35.82</v>
      </c>
      <c r="F246" t="s">
        <v>4</v>
      </c>
      <c r="G246" t="s">
        <v>0</v>
      </c>
      <c r="H246" t="s">
        <v>82</v>
      </c>
      <c r="I246" t="s">
        <v>0</v>
      </c>
      <c r="J246" t="s">
        <v>74</v>
      </c>
      <c r="K246" t="s">
        <v>6</v>
      </c>
      <c r="L246" t="s">
        <v>74</v>
      </c>
    </row>
    <row r="247" spans="1:12" ht="14.1" customHeight="1" x14ac:dyDescent="0.2">
      <c r="A247" s="5" t="s">
        <v>85</v>
      </c>
      <c r="B247" t="s">
        <v>1</v>
      </c>
      <c r="C247" t="s">
        <v>80</v>
      </c>
      <c r="D247" t="s">
        <v>3</v>
      </c>
      <c r="E247" s="2">
        <v>5383.28</v>
      </c>
      <c r="F247" t="s">
        <v>4</v>
      </c>
      <c r="G247" t="s">
        <v>0</v>
      </c>
      <c r="H247" t="s">
        <v>82</v>
      </c>
      <c r="I247" t="s">
        <v>0</v>
      </c>
      <c r="J247" t="s">
        <v>74</v>
      </c>
      <c r="K247" t="s">
        <v>6</v>
      </c>
      <c r="L247" t="s">
        <v>74</v>
      </c>
    </row>
    <row r="248" spans="1:12" ht="14.1" customHeight="1" x14ac:dyDescent="0.2">
      <c r="A248" s="5" t="s">
        <v>85</v>
      </c>
      <c r="B248" t="s">
        <v>1</v>
      </c>
      <c r="C248" t="s">
        <v>80</v>
      </c>
      <c r="D248" t="s">
        <v>3</v>
      </c>
      <c r="E248" s="2">
        <v>5383.28</v>
      </c>
      <c r="F248" t="s">
        <v>4</v>
      </c>
      <c r="G248" t="s">
        <v>0</v>
      </c>
      <c r="H248" t="s">
        <v>82</v>
      </c>
      <c r="I248" t="s">
        <v>0</v>
      </c>
      <c r="J248" t="s">
        <v>74</v>
      </c>
      <c r="K248" t="s">
        <v>6</v>
      </c>
      <c r="L248" t="s">
        <v>74</v>
      </c>
    </row>
    <row r="249" spans="1:12" ht="14.1" customHeight="1" x14ac:dyDescent="0.2">
      <c r="A249" s="5" t="s">
        <v>85</v>
      </c>
      <c r="B249" t="s">
        <v>1</v>
      </c>
      <c r="C249" t="s">
        <v>80</v>
      </c>
      <c r="D249" t="s">
        <v>3</v>
      </c>
      <c r="E249" s="2">
        <v>272559.48</v>
      </c>
      <c r="F249" t="s">
        <v>4</v>
      </c>
      <c r="G249" t="s">
        <v>0</v>
      </c>
      <c r="H249" t="s">
        <v>82</v>
      </c>
      <c r="I249" t="s">
        <v>0</v>
      </c>
      <c r="J249" t="s">
        <v>76</v>
      </c>
      <c r="K249" t="s">
        <v>6</v>
      </c>
      <c r="L249" t="s">
        <v>76</v>
      </c>
    </row>
    <row r="250" spans="1:12" ht="14.1" customHeight="1" x14ac:dyDescent="0.2">
      <c r="A250" s="5" t="s">
        <v>85</v>
      </c>
      <c r="B250" t="s">
        <v>1</v>
      </c>
      <c r="C250" t="s">
        <v>80</v>
      </c>
      <c r="D250" t="s">
        <v>3</v>
      </c>
      <c r="E250" s="2">
        <v>207235.92</v>
      </c>
      <c r="F250" t="s">
        <v>4</v>
      </c>
      <c r="G250" t="s">
        <v>0</v>
      </c>
      <c r="H250" t="s">
        <v>82</v>
      </c>
      <c r="I250" t="s">
        <v>0</v>
      </c>
      <c r="J250" t="s">
        <v>76</v>
      </c>
      <c r="K250" t="s">
        <v>6</v>
      </c>
      <c r="L250" t="s">
        <v>76</v>
      </c>
    </row>
    <row r="251" spans="1:12" ht="14.1" customHeight="1" x14ac:dyDescent="0.2">
      <c r="A251" s="5" t="s">
        <v>85</v>
      </c>
      <c r="B251" t="s">
        <v>1</v>
      </c>
      <c r="C251" t="s">
        <v>80</v>
      </c>
      <c r="D251" t="s">
        <v>3</v>
      </c>
      <c r="E251" s="2">
        <v>5058.25</v>
      </c>
      <c r="F251" t="s">
        <v>4</v>
      </c>
      <c r="G251" t="s">
        <v>0</v>
      </c>
      <c r="H251" t="s">
        <v>82</v>
      </c>
      <c r="I251" t="s">
        <v>0</v>
      </c>
      <c r="J251" t="s">
        <v>74</v>
      </c>
      <c r="K251" t="s">
        <v>6</v>
      </c>
      <c r="L251" t="s">
        <v>74</v>
      </c>
    </row>
    <row r="252" spans="1:12" ht="14.1" customHeight="1" x14ac:dyDescent="0.2">
      <c r="A252" s="5" t="s">
        <v>85</v>
      </c>
      <c r="B252" t="s">
        <v>1</v>
      </c>
      <c r="C252" t="s">
        <v>80</v>
      </c>
      <c r="D252" t="s">
        <v>3</v>
      </c>
      <c r="E252" s="2">
        <v>10123.94</v>
      </c>
      <c r="F252" t="s">
        <v>4</v>
      </c>
      <c r="G252" t="s">
        <v>0</v>
      </c>
      <c r="H252" t="s">
        <v>82</v>
      </c>
      <c r="I252" t="s">
        <v>0</v>
      </c>
      <c r="J252" t="s">
        <v>74</v>
      </c>
      <c r="K252" t="s">
        <v>6</v>
      </c>
      <c r="L252" t="s">
        <v>74</v>
      </c>
    </row>
    <row r="253" spans="1:12" ht="14.1" customHeight="1" x14ac:dyDescent="0.2">
      <c r="A253" s="5" t="s">
        <v>85</v>
      </c>
      <c r="B253" t="s">
        <v>1</v>
      </c>
      <c r="C253" t="s">
        <v>80</v>
      </c>
      <c r="D253" t="s">
        <v>3</v>
      </c>
      <c r="E253" s="2">
        <v>299695.09999999998</v>
      </c>
      <c r="F253" t="s">
        <v>4</v>
      </c>
      <c r="G253" t="s">
        <v>0</v>
      </c>
      <c r="H253" t="s">
        <v>82</v>
      </c>
      <c r="I253" t="s">
        <v>0</v>
      </c>
      <c r="J253" t="s">
        <v>76</v>
      </c>
      <c r="K253" t="s">
        <v>6</v>
      </c>
      <c r="L253" t="s">
        <v>76</v>
      </c>
    </row>
    <row r="254" spans="1:12" ht="14.1" customHeight="1" x14ac:dyDescent="0.2">
      <c r="A254" s="5" t="s">
        <v>85</v>
      </c>
      <c r="B254" t="s">
        <v>1</v>
      </c>
      <c r="C254" t="s">
        <v>80</v>
      </c>
      <c r="D254" t="s">
        <v>3</v>
      </c>
      <c r="E254" s="2">
        <v>2716.28</v>
      </c>
      <c r="F254" t="s">
        <v>4</v>
      </c>
      <c r="G254" t="s">
        <v>0</v>
      </c>
      <c r="H254" t="s">
        <v>82</v>
      </c>
      <c r="I254" t="s">
        <v>0</v>
      </c>
      <c r="J254" t="s">
        <v>74</v>
      </c>
      <c r="K254" t="s">
        <v>6</v>
      </c>
      <c r="L254" t="s">
        <v>74</v>
      </c>
    </row>
    <row r="255" spans="1:12" ht="14.1" customHeight="1" x14ac:dyDescent="0.2">
      <c r="A255" s="5" t="s">
        <v>85</v>
      </c>
      <c r="B255" t="s">
        <v>1</v>
      </c>
      <c r="C255" t="s">
        <v>80</v>
      </c>
      <c r="D255" t="s">
        <v>3</v>
      </c>
      <c r="E255" s="2">
        <v>69694.259999999995</v>
      </c>
      <c r="F255" t="s">
        <v>4</v>
      </c>
      <c r="G255" t="s">
        <v>0</v>
      </c>
      <c r="H255" t="s">
        <v>82</v>
      </c>
      <c r="I255" t="s">
        <v>0</v>
      </c>
      <c r="J255" t="s">
        <v>76</v>
      </c>
      <c r="K255" t="s">
        <v>6</v>
      </c>
      <c r="L255" t="s">
        <v>76</v>
      </c>
    </row>
    <row r="256" spans="1:12" ht="14.1" customHeight="1" x14ac:dyDescent="0.2">
      <c r="A256" s="5" t="s">
        <v>85</v>
      </c>
      <c r="B256" t="s">
        <v>1</v>
      </c>
      <c r="C256" t="s">
        <v>80</v>
      </c>
      <c r="D256" t="s">
        <v>3</v>
      </c>
      <c r="E256" s="2">
        <v>6483.1</v>
      </c>
      <c r="F256" t="s">
        <v>4</v>
      </c>
      <c r="G256" t="s">
        <v>0</v>
      </c>
      <c r="H256" t="s">
        <v>82</v>
      </c>
      <c r="I256" t="s">
        <v>0</v>
      </c>
      <c r="J256" t="s">
        <v>76</v>
      </c>
      <c r="K256" t="s">
        <v>6</v>
      </c>
      <c r="L256" t="s">
        <v>76</v>
      </c>
    </row>
    <row r="257" spans="1:12" ht="14.1" customHeight="1" x14ac:dyDescent="0.2">
      <c r="A257" s="5" t="s">
        <v>85</v>
      </c>
      <c r="B257" t="s">
        <v>1</v>
      </c>
      <c r="C257" t="s">
        <v>80</v>
      </c>
      <c r="D257" t="s">
        <v>3</v>
      </c>
      <c r="E257" s="2">
        <v>94486.77</v>
      </c>
      <c r="F257" t="s">
        <v>4</v>
      </c>
      <c r="G257" t="s">
        <v>0</v>
      </c>
      <c r="H257" t="s">
        <v>82</v>
      </c>
      <c r="I257" t="s">
        <v>0</v>
      </c>
      <c r="J257" t="s">
        <v>76</v>
      </c>
      <c r="K257" t="s">
        <v>6</v>
      </c>
      <c r="L257" t="s">
        <v>76</v>
      </c>
    </row>
    <row r="258" spans="1:12" ht="14.1" customHeight="1" x14ac:dyDescent="0.2">
      <c r="A258" s="5" t="s">
        <v>85</v>
      </c>
      <c r="B258" t="s">
        <v>1</v>
      </c>
      <c r="C258" t="s">
        <v>80</v>
      </c>
      <c r="D258" t="s">
        <v>3</v>
      </c>
      <c r="E258" s="2">
        <v>378203.19</v>
      </c>
      <c r="F258" t="s">
        <v>4</v>
      </c>
      <c r="G258" t="s">
        <v>0</v>
      </c>
      <c r="H258" t="s">
        <v>82</v>
      </c>
      <c r="I258" t="s">
        <v>0</v>
      </c>
      <c r="J258" t="s">
        <v>76</v>
      </c>
      <c r="K258" t="s">
        <v>6</v>
      </c>
      <c r="L258" t="s">
        <v>76</v>
      </c>
    </row>
    <row r="259" spans="1:12" ht="14.1" customHeight="1" x14ac:dyDescent="0.2">
      <c r="A259" s="5" t="s">
        <v>85</v>
      </c>
      <c r="B259" t="s">
        <v>1</v>
      </c>
      <c r="C259" t="s">
        <v>80</v>
      </c>
      <c r="D259" t="s">
        <v>3</v>
      </c>
      <c r="E259" s="2">
        <v>115982.98</v>
      </c>
      <c r="F259" t="s">
        <v>4</v>
      </c>
      <c r="G259" t="s">
        <v>0</v>
      </c>
      <c r="H259" t="s">
        <v>82</v>
      </c>
      <c r="I259" t="s">
        <v>0</v>
      </c>
      <c r="J259" t="s">
        <v>76</v>
      </c>
      <c r="K259" t="s">
        <v>6</v>
      </c>
      <c r="L259" t="s">
        <v>76</v>
      </c>
    </row>
    <row r="260" spans="1:12" ht="14.1" customHeight="1" x14ac:dyDescent="0.2">
      <c r="A260" s="5" t="s">
        <v>85</v>
      </c>
      <c r="B260" t="s">
        <v>1</v>
      </c>
      <c r="C260" t="s">
        <v>80</v>
      </c>
      <c r="D260" t="s">
        <v>3</v>
      </c>
      <c r="E260" s="2">
        <v>50293.19</v>
      </c>
      <c r="F260" t="s">
        <v>4</v>
      </c>
      <c r="G260" t="s">
        <v>0</v>
      </c>
      <c r="H260" t="s">
        <v>82</v>
      </c>
      <c r="I260" t="s">
        <v>0</v>
      </c>
      <c r="J260" t="s">
        <v>76</v>
      </c>
      <c r="K260" t="s">
        <v>6</v>
      </c>
      <c r="L260" t="s">
        <v>76</v>
      </c>
    </row>
    <row r="261" spans="1:12" ht="14.1" customHeight="1" x14ac:dyDescent="0.2">
      <c r="A261" s="5" t="s">
        <v>85</v>
      </c>
      <c r="B261" t="s">
        <v>1</v>
      </c>
      <c r="C261" t="s">
        <v>80</v>
      </c>
      <c r="D261" t="s">
        <v>3</v>
      </c>
      <c r="E261" s="2">
        <v>12433.02</v>
      </c>
      <c r="F261" t="s">
        <v>4</v>
      </c>
      <c r="G261" t="s">
        <v>0</v>
      </c>
      <c r="H261" t="s">
        <v>82</v>
      </c>
      <c r="I261" t="s">
        <v>0</v>
      </c>
      <c r="J261" t="s">
        <v>76</v>
      </c>
      <c r="K261" t="s">
        <v>6</v>
      </c>
      <c r="L261" t="s">
        <v>76</v>
      </c>
    </row>
    <row r="262" spans="1:12" ht="14.1" customHeight="1" x14ac:dyDescent="0.2">
      <c r="A262" s="5" t="s">
        <v>85</v>
      </c>
      <c r="B262" t="s">
        <v>1</v>
      </c>
      <c r="C262" t="s">
        <v>80</v>
      </c>
      <c r="D262" t="s">
        <v>3</v>
      </c>
      <c r="E262" s="2">
        <v>6216.52</v>
      </c>
      <c r="F262" t="s">
        <v>4</v>
      </c>
      <c r="G262" t="s">
        <v>0</v>
      </c>
      <c r="H262" t="s">
        <v>82</v>
      </c>
      <c r="I262" t="s">
        <v>0</v>
      </c>
      <c r="J262" t="s">
        <v>76</v>
      </c>
      <c r="K262" t="s">
        <v>6</v>
      </c>
      <c r="L262" t="s">
        <v>76</v>
      </c>
    </row>
    <row r="263" spans="1:12" ht="14.1" customHeight="1" x14ac:dyDescent="0.2">
      <c r="A263" s="5" t="s">
        <v>85</v>
      </c>
      <c r="B263" t="s">
        <v>1</v>
      </c>
      <c r="C263" t="s">
        <v>80</v>
      </c>
      <c r="D263" t="s">
        <v>3</v>
      </c>
      <c r="E263" s="2">
        <v>84432.960000000006</v>
      </c>
      <c r="F263" t="s">
        <v>4</v>
      </c>
      <c r="G263" t="s">
        <v>0</v>
      </c>
      <c r="H263" t="s">
        <v>82</v>
      </c>
      <c r="I263" t="s">
        <v>0</v>
      </c>
      <c r="J263" t="s">
        <v>76</v>
      </c>
      <c r="K263" t="s">
        <v>6</v>
      </c>
      <c r="L263" t="s">
        <v>76</v>
      </c>
    </row>
    <row r="264" spans="1:12" ht="14.1" customHeight="1" x14ac:dyDescent="0.2">
      <c r="A264" s="5" t="s">
        <v>85</v>
      </c>
      <c r="B264" t="s">
        <v>1</v>
      </c>
      <c r="C264" t="s">
        <v>80</v>
      </c>
      <c r="D264" t="s">
        <v>3</v>
      </c>
      <c r="E264" s="2">
        <v>4374.05</v>
      </c>
      <c r="F264" t="s">
        <v>4</v>
      </c>
      <c r="G264" t="s">
        <v>0</v>
      </c>
      <c r="H264" t="s">
        <v>82</v>
      </c>
      <c r="I264" t="s">
        <v>0</v>
      </c>
      <c r="J264" t="s">
        <v>76</v>
      </c>
      <c r="K264" t="s">
        <v>6</v>
      </c>
      <c r="L264" t="s">
        <v>76</v>
      </c>
    </row>
    <row r="265" spans="1:12" ht="14.1" customHeight="1" x14ac:dyDescent="0.2">
      <c r="A265" s="5" t="s">
        <v>85</v>
      </c>
      <c r="B265" t="s">
        <v>1</v>
      </c>
      <c r="C265" t="s">
        <v>80</v>
      </c>
      <c r="D265" t="s">
        <v>3</v>
      </c>
      <c r="E265" s="2">
        <v>10072.61</v>
      </c>
      <c r="F265" t="s">
        <v>4</v>
      </c>
      <c r="G265" t="s">
        <v>0</v>
      </c>
      <c r="H265" t="s">
        <v>82</v>
      </c>
      <c r="I265" t="s">
        <v>0</v>
      </c>
      <c r="J265" t="s">
        <v>74</v>
      </c>
      <c r="K265" t="s">
        <v>6</v>
      </c>
      <c r="L265" t="s">
        <v>74</v>
      </c>
    </row>
    <row r="266" spans="1:12" ht="14.1" customHeight="1" x14ac:dyDescent="0.2">
      <c r="A266" s="5" t="s">
        <v>85</v>
      </c>
      <c r="B266" t="s">
        <v>1</v>
      </c>
      <c r="C266" t="s">
        <v>80</v>
      </c>
      <c r="D266" t="s">
        <v>3</v>
      </c>
      <c r="E266" s="2">
        <v>972.67</v>
      </c>
      <c r="F266" t="s">
        <v>4</v>
      </c>
      <c r="G266" t="s">
        <v>0</v>
      </c>
      <c r="H266" t="s">
        <v>82</v>
      </c>
      <c r="I266" t="s">
        <v>0</v>
      </c>
      <c r="J266" t="s">
        <v>74</v>
      </c>
      <c r="K266" t="s">
        <v>6</v>
      </c>
      <c r="L266" t="s">
        <v>74</v>
      </c>
    </row>
    <row r="267" spans="1:12" ht="14.1" customHeight="1" x14ac:dyDescent="0.2">
      <c r="A267" s="5" t="s">
        <v>85</v>
      </c>
      <c r="B267" t="s">
        <v>1</v>
      </c>
      <c r="C267" t="s">
        <v>80</v>
      </c>
      <c r="D267" t="s">
        <v>3</v>
      </c>
      <c r="E267" s="2">
        <v>5578.11</v>
      </c>
      <c r="F267" t="s">
        <v>4</v>
      </c>
      <c r="G267" t="s">
        <v>0</v>
      </c>
      <c r="H267" t="s">
        <v>82</v>
      </c>
      <c r="I267" t="s">
        <v>0</v>
      </c>
      <c r="J267" t="s">
        <v>74</v>
      </c>
      <c r="K267" t="s">
        <v>6</v>
      </c>
      <c r="L267" t="s">
        <v>74</v>
      </c>
    </row>
    <row r="268" spans="1:12" ht="14.1" customHeight="1" x14ac:dyDescent="0.2">
      <c r="A268" s="5" t="s">
        <v>85</v>
      </c>
      <c r="B268" t="s">
        <v>1</v>
      </c>
      <c r="C268" t="s">
        <v>80</v>
      </c>
      <c r="D268" t="s">
        <v>3</v>
      </c>
      <c r="E268" s="2">
        <v>11436.96</v>
      </c>
      <c r="F268" t="s">
        <v>4</v>
      </c>
      <c r="G268" t="s">
        <v>0</v>
      </c>
      <c r="H268" t="s">
        <v>82</v>
      </c>
      <c r="I268" t="s">
        <v>0</v>
      </c>
      <c r="J268" t="s">
        <v>76</v>
      </c>
      <c r="K268" t="s">
        <v>6</v>
      </c>
      <c r="L268" t="s">
        <v>76</v>
      </c>
    </row>
    <row r="269" spans="1:12" ht="14.1" customHeight="1" x14ac:dyDescent="0.2">
      <c r="A269" s="5" t="s">
        <v>85</v>
      </c>
      <c r="B269" t="s">
        <v>1</v>
      </c>
      <c r="C269" t="s">
        <v>80</v>
      </c>
      <c r="D269" t="s">
        <v>3</v>
      </c>
      <c r="E269" s="2">
        <v>7352.33</v>
      </c>
      <c r="F269" t="s">
        <v>4</v>
      </c>
      <c r="G269" t="s">
        <v>0</v>
      </c>
      <c r="H269" t="s">
        <v>82</v>
      </c>
      <c r="I269" t="s">
        <v>0</v>
      </c>
      <c r="J269" t="s">
        <v>76</v>
      </c>
      <c r="K269" t="s">
        <v>6</v>
      </c>
      <c r="L269" t="s">
        <v>76</v>
      </c>
    </row>
    <row r="270" spans="1:12" ht="14.1" customHeight="1" x14ac:dyDescent="0.2">
      <c r="A270" s="5" t="s">
        <v>85</v>
      </c>
      <c r="B270" t="s">
        <v>1</v>
      </c>
      <c r="C270" t="s">
        <v>80</v>
      </c>
      <c r="D270" t="s">
        <v>3</v>
      </c>
      <c r="E270" s="2">
        <v>2450.7800000000002</v>
      </c>
      <c r="F270" t="s">
        <v>4</v>
      </c>
      <c r="G270" t="s">
        <v>0</v>
      </c>
      <c r="H270" t="s">
        <v>82</v>
      </c>
      <c r="I270" t="s">
        <v>0</v>
      </c>
      <c r="J270" t="s">
        <v>76</v>
      </c>
      <c r="K270" t="s">
        <v>6</v>
      </c>
      <c r="L270" t="s">
        <v>76</v>
      </c>
    </row>
    <row r="271" spans="1:12" ht="14.1" customHeight="1" x14ac:dyDescent="0.2">
      <c r="A271" s="5" t="s">
        <v>85</v>
      </c>
      <c r="B271" t="s">
        <v>1</v>
      </c>
      <c r="C271" t="s">
        <v>80</v>
      </c>
      <c r="D271" t="s">
        <v>3</v>
      </c>
      <c r="E271" s="2">
        <v>1633.85</v>
      </c>
      <c r="F271" t="s">
        <v>4</v>
      </c>
      <c r="G271" t="s">
        <v>0</v>
      </c>
      <c r="H271" t="s">
        <v>82</v>
      </c>
      <c r="I271" t="s">
        <v>0</v>
      </c>
      <c r="J271" t="s">
        <v>76</v>
      </c>
      <c r="K271" t="s">
        <v>6</v>
      </c>
      <c r="L271" t="s">
        <v>76</v>
      </c>
    </row>
    <row r="272" spans="1:12" ht="14.1" customHeight="1" x14ac:dyDescent="0.2">
      <c r="A272" s="5" t="s">
        <v>85</v>
      </c>
      <c r="B272" t="s">
        <v>1</v>
      </c>
      <c r="C272" t="s">
        <v>80</v>
      </c>
      <c r="D272" t="s">
        <v>3</v>
      </c>
      <c r="E272" s="2">
        <v>80684.929999999993</v>
      </c>
      <c r="F272" t="s">
        <v>4</v>
      </c>
      <c r="G272" t="s">
        <v>0</v>
      </c>
      <c r="H272" t="s">
        <v>82</v>
      </c>
      <c r="I272" t="s">
        <v>0</v>
      </c>
      <c r="J272" t="s">
        <v>74</v>
      </c>
      <c r="K272" t="s">
        <v>6</v>
      </c>
      <c r="L272" t="s">
        <v>74</v>
      </c>
    </row>
    <row r="273" spans="1:12" ht="14.1" customHeight="1" x14ac:dyDescent="0.2">
      <c r="A273" s="5" t="s">
        <v>85</v>
      </c>
      <c r="B273" t="s">
        <v>1</v>
      </c>
      <c r="C273" t="s">
        <v>80</v>
      </c>
      <c r="D273" t="s">
        <v>3</v>
      </c>
      <c r="E273" s="2">
        <v>41663.620000000003</v>
      </c>
      <c r="F273" t="s">
        <v>4</v>
      </c>
      <c r="G273" t="s">
        <v>0</v>
      </c>
      <c r="H273" t="s">
        <v>82</v>
      </c>
      <c r="I273" t="s">
        <v>0</v>
      </c>
      <c r="J273" t="s">
        <v>74</v>
      </c>
      <c r="K273" t="s">
        <v>6</v>
      </c>
      <c r="L273" t="s">
        <v>74</v>
      </c>
    </row>
    <row r="274" spans="1:12" ht="14.1" customHeight="1" x14ac:dyDescent="0.2">
      <c r="A274" s="5" t="s">
        <v>85</v>
      </c>
      <c r="B274" t="s">
        <v>1</v>
      </c>
      <c r="C274" t="s">
        <v>80</v>
      </c>
      <c r="D274" t="s">
        <v>3</v>
      </c>
      <c r="E274" s="2">
        <v>32526.19</v>
      </c>
      <c r="F274" t="s">
        <v>4</v>
      </c>
      <c r="G274" t="s">
        <v>0</v>
      </c>
      <c r="H274" t="s">
        <v>82</v>
      </c>
      <c r="I274" t="s">
        <v>0</v>
      </c>
      <c r="J274" t="s">
        <v>74</v>
      </c>
      <c r="K274" t="s">
        <v>6</v>
      </c>
      <c r="L274" t="s">
        <v>74</v>
      </c>
    </row>
    <row r="275" spans="1:12" ht="14.1" customHeight="1" x14ac:dyDescent="0.2">
      <c r="A275" s="5" t="s">
        <v>85</v>
      </c>
      <c r="B275" t="s">
        <v>1</v>
      </c>
      <c r="C275" t="s">
        <v>80</v>
      </c>
      <c r="D275" t="s">
        <v>3</v>
      </c>
      <c r="E275" s="2">
        <v>1804.8</v>
      </c>
      <c r="F275" t="s">
        <v>4</v>
      </c>
      <c r="G275" t="s">
        <v>0</v>
      </c>
      <c r="H275" t="s">
        <v>82</v>
      </c>
      <c r="I275" t="s">
        <v>0</v>
      </c>
      <c r="J275" t="s">
        <v>76</v>
      </c>
      <c r="K275" t="s">
        <v>6</v>
      </c>
      <c r="L275" t="s">
        <v>76</v>
      </c>
    </row>
    <row r="276" spans="1:12" ht="14.1" customHeight="1" x14ac:dyDescent="0.2">
      <c r="A276" s="5" t="s">
        <v>85</v>
      </c>
      <c r="B276" t="s">
        <v>1</v>
      </c>
      <c r="C276" t="s">
        <v>80</v>
      </c>
      <c r="D276" t="s">
        <v>3</v>
      </c>
      <c r="E276" s="2">
        <v>849.32</v>
      </c>
      <c r="F276" t="s">
        <v>4</v>
      </c>
      <c r="G276" t="s">
        <v>0</v>
      </c>
      <c r="H276" t="s">
        <v>82</v>
      </c>
      <c r="I276" t="s">
        <v>0</v>
      </c>
      <c r="J276" t="s">
        <v>76</v>
      </c>
      <c r="K276" t="s">
        <v>6</v>
      </c>
      <c r="L276" t="s">
        <v>76</v>
      </c>
    </row>
    <row r="277" spans="1:12" ht="14.1" customHeight="1" x14ac:dyDescent="0.2">
      <c r="A277" s="5" t="s">
        <v>85</v>
      </c>
      <c r="B277" t="s">
        <v>1</v>
      </c>
      <c r="C277" t="s">
        <v>80</v>
      </c>
      <c r="D277" t="s">
        <v>3</v>
      </c>
      <c r="E277" s="2">
        <v>540405.36</v>
      </c>
      <c r="F277" t="s">
        <v>4</v>
      </c>
      <c r="G277" t="s">
        <v>0</v>
      </c>
      <c r="H277" t="s">
        <v>82</v>
      </c>
      <c r="I277" t="s">
        <v>0</v>
      </c>
      <c r="J277" t="s">
        <v>76</v>
      </c>
      <c r="K277" t="s">
        <v>6</v>
      </c>
      <c r="L277" t="s">
        <v>76</v>
      </c>
    </row>
    <row r="278" spans="1:12" ht="14.1" customHeight="1" x14ac:dyDescent="0.2">
      <c r="A278" s="5" t="s">
        <v>85</v>
      </c>
      <c r="B278" t="s">
        <v>1</v>
      </c>
      <c r="C278" t="s">
        <v>80</v>
      </c>
      <c r="D278" t="s">
        <v>3</v>
      </c>
      <c r="E278" s="2">
        <v>205781.08</v>
      </c>
      <c r="F278" t="s">
        <v>4</v>
      </c>
      <c r="G278" t="s">
        <v>0</v>
      </c>
      <c r="H278" t="s">
        <v>82</v>
      </c>
      <c r="I278" t="s">
        <v>0</v>
      </c>
      <c r="J278" t="s">
        <v>76</v>
      </c>
      <c r="K278" t="s">
        <v>6</v>
      </c>
      <c r="L278" t="s">
        <v>76</v>
      </c>
    </row>
    <row r="279" spans="1:12" ht="14.1" customHeight="1" x14ac:dyDescent="0.2">
      <c r="A279" s="5" t="s">
        <v>85</v>
      </c>
      <c r="B279" t="s">
        <v>1</v>
      </c>
      <c r="C279" t="s">
        <v>80</v>
      </c>
      <c r="D279" t="s">
        <v>3</v>
      </c>
      <c r="E279" s="2">
        <v>75935.399999999994</v>
      </c>
      <c r="F279" t="s">
        <v>4</v>
      </c>
      <c r="G279" t="s">
        <v>0</v>
      </c>
      <c r="H279" t="s">
        <v>82</v>
      </c>
      <c r="I279" t="s">
        <v>0</v>
      </c>
      <c r="J279" t="s">
        <v>76</v>
      </c>
      <c r="K279" t="s">
        <v>6</v>
      </c>
      <c r="L279" t="s">
        <v>76</v>
      </c>
    </row>
    <row r="280" spans="1:12" ht="14.1" customHeight="1" x14ac:dyDescent="0.2">
      <c r="A280" s="5" t="s">
        <v>85</v>
      </c>
      <c r="B280" t="s">
        <v>14</v>
      </c>
      <c r="C280" t="s">
        <v>9</v>
      </c>
      <c r="D280" t="s">
        <v>10</v>
      </c>
      <c r="E280" s="2">
        <v>50196.2</v>
      </c>
      <c r="F280" t="s">
        <v>4</v>
      </c>
      <c r="G280" t="s">
        <v>71</v>
      </c>
      <c r="H280" t="s">
        <v>15</v>
      </c>
      <c r="I280" t="s">
        <v>0</v>
      </c>
      <c r="J280" t="s">
        <v>69</v>
      </c>
      <c r="K280" t="s">
        <v>6</v>
      </c>
      <c r="L280" t="s">
        <v>69</v>
      </c>
    </row>
    <row r="281" spans="1:12" ht="14.1" customHeight="1" x14ac:dyDescent="0.2">
      <c r="A281" s="5" t="s">
        <v>85</v>
      </c>
      <c r="B281" t="s">
        <v>14</v>
      </c>
      <c r="C281" t="s">
        <v>9</v>
      </c>
      <c r="D281" t="s">
        <v>10</v>
      </c>
      <c r="E281" s="2">
        <v>20749.03</v>
      </c>
      <c r="F281" t="s">
        <v>4</v>
      </c>
      <c r="G281" t="s">
        <v>73</v>
      </c>
      <c r="H281" t="s">
        <v>17</v>
      </c>
      <c r="I281" t="s">
        <v>0</v>
      </c>
      <c r="J281" t="s">
        <v>69</v>
      </c>
      <c r="K281" t="s">
        <v>6</v>
      </c>
      <c r="L281" t="s">
        <v>69</v>
      </c>
    </row>
    <row r="282" spans="1:12" ht="14.1" customHeight="1" x14ac:dyDescent="0.2">
      <c r="A282" s="5" t="s">
        <v>85</v>
      </c>
      <c r="B282" t="s">
        <v>14</v>
      </c>
      <c r="C282" t="s">
        <v>20</v>
      </c>
      <c r="D282" t="s">
        <v>19</v>
      </c>
      <c r="E282" s="2">
        <v>181464.46</v>
      </c>
      <c r="F282" t="s">
        <v>4</v>
      </c>
      <c r="G282" t="s">
        <v>21</v>
      </c>
      <c r="H282" t="s">
        <v>22</v>
      </c>
      <c r="I282" t="s">
        <v>0</v>
      </c>
      <c r="J282" t="s">
        <v>76</v>
      </c>
      <c r="K282" t="s">
        <v>18</v>
      </c>
      <c r="L282" t="s">
        <v>76</v>
      </c>
    </row>
    <row r="283" spans="1:12" ht="14.1" customHeight="1" x14ac:dyDescent="0.2">
      <c r="A283" s="5" t="s">
        <v>85</v>
      </c>
      <c r="B283" t="s">
        <v>14</v>
      </c>
      <c r="C283" t="s">
        <v>20</v>
      </c>
      <c r="D283" t="s">
        <v>19</v>
      </c>
      <c r="E283" s="2">
        <v>90494.92</v>
      </c>
      <c r="F283" t="s">
        <v>4</v>
      </c>
      <c r="G283" t="s">
        <v>21</v>
      </c>
      <c r="H283" t="s">
        <v>22</v>
      </c>
      <c r="I283" t="s">
        <v>0</v>
      </c>
      <c r="J283" t="s">
        <v>74</v>
      </c>
      <c r="K283" t="s">
        <v>18</v>
      </c>
      <c r="L283" t="s">
        <v>74</v>
      </c>
    </row>
    <row r="284" spans="1:12" ht="14.1" customHeight="1" x14ac:dyDescent="0.2">
      <c r="A284" s="5" t="s">
        <v>85</v>
      </c>
      <c r="B284" t="s">
        <v>14</v>
      </c>
      <c r="C284" t="s">
        <v>23</v>
      </c>
      <c r="D284" t="s">
        <v>19</v>
      </c>
      <c r="E284" s="2">
        <v>204916.88</v>
      </c>
      <c r="F284" t="s">
        <v>4</v>
      </c>
      <c r="G284" t="s">
        <v>24</v>
      </c>
      <c r="H284" t="s">
        <v>25</v>
      </c>
      <c r="I284" t="s">
        <v>0</v>
      </c>
      <c r="J284" t="s">
        <v>76</v>
      </c>
      <c r="K284" t="s">
        <v>18</v>
      </c>
      <c r="L284" t="s">
        <v>76</v>
      </c>
    </row>
    <row r="285" spans="1:12" ht="14.1" customHeight="1" x14ac:dyDescent="0.2">
      <c r="A285" s="5" t="s">
        <v>85</v>
      </c>
      <c r="B285" t="s">
        <v>14</v>
      </c>
      <c r="C285" t="s">
        <v>23</v>
      </c>
      <c r="D285" t="s">
        <v>19</v>
      </c>
      <c r="E285" s="2">
        <v>64879.69</v>
      </c>
      <c r="F285" t="s">
        <v>4</v>
      </c>
      <c r="G285" t="s">
        <v>24</v>
      </c>
      <c r="H285" t="s">
        <v>25</v>
      </c>
      <c r="I285" t="s">
        <v>0</v>
      </c>
      <c r="J285" t="s">
        <v>74</v>
      </c>
      <c r="K285" t="s">
        <v>18</v>
      </c>
      <c r="L285" t="s">
        <v>74</v>
      </c>
    </row>
  </sheetData>
  <sortState xmlns:xlrd2="http://schemas.microsoft.com/office/spreadsheetml/2017/richdata2" ref="A2:L285">
    <sortCondition ref="B1:B285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F073A-1576-4253-816C-A0FA89DD0227}">
  <sheetPr codeName="Лист3"/>
  <dimension ref="A1:G31"/>
  <sheetViews>
    <sheetView tabSelected="1" topLeftCell="A11" workbookViewId="0">
      <selection activeCell="C14" sqref="C14"/>
    </sheetView>
  </sheetViews>
  <sheetFormatPr defaultRowHeight="12.75" x14ac:dyDescent="0.2"/>
  <cols>
    <col min="1" max="1" width="15.140625" customWidth="1"/>
    <col min="2" max="2" width="14.42578125" customWidth="1"/>
    <col min="3" max="3" width="13.28515625" customWidth="1"/>
    <col min="4" max="4" width="14.140625" customWidth="1"/>
    <col min="5" max="5" width="13.85546875" customWidth="1"/>
    <col min="7" max="7" width="14.7109375" customWidth="1"/>
  </cols>
  <sheetData>
    <row r="1" spans="1:7" x14ac:dyDescent="0.2">
      <c r="A1" s="25" t="s">
        <v>86</v>
      </c>
      <c r="B1" s="26"/>
      <c r="C1" s="25" t="s">
        <v>87</v>
      </c>
      <c r="D1" s="26"/>
      <c r="E1" s="33" t="s">
        <v>88</v>
      </c>
      <c r="F1" s="6"/>
    </row>
    <row r="2" spans="1:7" x14ac:dyDescent="0.2">
      <c r="A2" s="27" t="s">
        <v>89</v>
      </c>
      <c r="B2" s="28" t="s">
        <v>90</v>
      </c>
      <c r="C2" s="27" t="s">
        <v>89</v>
      </c>
      <c r="D2" s="28" t="s">
        <v>90</v>
      </c>
      <c r="E2" s="34"/>
      <c r="F2" s="6"/>
    </row>
    <row r="3" spans="1:7" x14ac:dyDescent="0.2">
      <c r="A3" s="27" t="str" cm="1">
        <f t="array" ref="A3">IFERROR(INDEX('Регистр 0L'!$B$2:$B$260,MATCH(0,COUNTIF($A$2:$A2,'Регистр 0L'!$B$2:$B$260),0)),"")</f>
        <v>3520811000</v>
      </c>
      <c r="B3" s="28">
        <f>SUMIF('Регистр 0L'!$B$2:$B$260, A3,'Регистр 0L'!$E$2:$E$260)</f>
        <v>965719.09</v>
      </c>
      <c r="C3" s="27" t="str" cm="1">
        <f t="array" ref="C3">IFERROR(INDEX('Регистр 0M'!$B$2:$B$285,MATCH(0,COUNTIF($C$2:$C2,'Регистр 0M'!$B$2:$B$285),0)),"")</f>
        <v>3520811000</v>
      </c>
      <c r="D3" s="28">
        <f>SUMIF('Регистр 0M'!$B$2:$B$285, C3,'Регистр 0M'!$E$2:$E$285)</f>
        <v>965719.09</v>
      </c>
      <c r="E3" s="35">
        <f>B3-D3</f>
        <v>0</v>
      </c>
      <c r="F3" s="6"/>
    </row>
    <row r="4" spans="1:7" ht="15" x14ac:dyDescent="0.25">
      <c r="A4" s="29" t="str" cm="1">
        <f t="array" ref="A4">IFERROR(INDEX('Регистр 0L'!$B$2:$B$260,MATCH(0,COUNTIF($A$2:$A3,'Регистр 0L'!$B$2:$B$260),0)),"")</f>
        <v>3520902040</v>
      </c>
      <c r="B4" s="30">
        <f>SUMIF('Регистр 0L'!$B$2:$B$260, A4,'Регистр 0L'!$E$2:$E$260)</f>
        <v>342958.58</v>
      </c>
      <c r="C4" s="29" t="str" cm="1">
        <f t="array" ref="C4">IFERROR(INDEX('Регистр 0M'!$B$2:$B$285,MATCH(0,COUNTIF($C$2:$C3,'Регистр 0M'!$B$2:$B$285),0)),"")</f>
        <v>3520902040</v>
      </c>
      <c r="D4" s="30">
        <f>SUMIF('Регистр 0M'!$B$2:$B$285, C4,'Регистр 0M'!$E$2:$E$285)</f>
        <v>342958.58</v>
      </c>
      <c r="E4" s="36">
        <f t="shared" ref="E4:E8" si="0">B4-D4</f>
        <v>0</v>
      </c>
      <c r="F4" s="6"/>
    </row>
    <row r="5" spans="1:7" x14ac:dyDescent="0.2">
      <c r="A5" s="27" t="str" cm="1">
        <f t="array" ref="A5">IFERROR(INDEX('Регистр 0L'!$B$2:$B$260,MATCH(0,COUNTIF($A$2:$A4,'Регистр 0L'!$B$2:$B$260),0)),"")</f>
        <v>3520902070</v>
      </c>
      <c r="B5" s="28">
        <f>SUMIF('Регистр 0L'!$B$2:$B$260, A5,'Регистр 0L'!$E$2:$E$260)</f>
        <v>7221972.8000000007</v>
      </c>
      <c r="C5" s="27" t="str" cm="1">
        <f t="array" ref="C5">IFERROR(INDEX('Регистр 0M'!$B$2:$B$285,MATCH(0,COUNTIF($C$2:$C4,'Регистр 0M'!$B$2:$B$285),0)),"")</f>
        <v>3520902070</v>
      </c>
      <c r="D5" s="28">
        <f>SUMIF('Регистр 0M'!$B$2:$B$285, C5,'Регистр 0M'!$E$2:$E$285)</f>
        <v>7221972.7999999998</v>
      </c>
      <c r="E5" s="35">
        <f>B5-D5</f>
        <v>0</v>
      </c>
      <c r="F5" s="6"/>
    </row>
    <row r="6" spans="1:7" ht="15" x14ac:dyDescent="0.25">
      <c r="A6" s="29" t="str" cm="1">
        <f t="array" ref="A6">IFERROR(INDEX('Регистр 0L'!$B$2:$B$260,MATCH(0,COUNTIF($A$2:$A5,'Регистр 0L'!$B$2:$B$260),0)),"")</f>
        <v>3521101000</v>
      </c>
      <c r="B6" s="30">
        <f>SUMIF('Регистр 0L'!$B$2:$B$260, A6,'Регистр 0L'!$E$2:$E$260)</f>
        <v>3230241.17</v>
      </c>
      <c r="C6" s="29" t="str" cm="1">
        <f t="array" ref="C6">IFERROR(INDEX('Регистр 0M'!$B$2:$B$285,MATCH(0,COUNTIF($C$2:$C5,'Регистр 0M'!$B$2:$B$285),0)),"")</f>
        <v>3521101000</v>
      </c>
      <c r="D6" s="30">
        <f>SUMIF('Регистр 0M'!$B$2:$B$285, C6,'Регистр 0M'!$E$2:$E$285)</f>
        <v>3230241.17</v>
      </c>
      <c r="E6" s="36">
        <f t="shared" si="0"/>
        <v>0</v>
      </c>
      <c r="F6" s="6"/>
    </row>
    <row r="7" spans="1:7" x14ac:dyDescent="0.2">
      <c r="A7" s="27" t="str" cm="1">
        <f t="array" ref="A7">IFERROR(INDEX('Регистр 0L'!$B$2:$B$260,MATCH(0,COUNTIF($A$2:$A6,'Регистр 0L'!$B$2:$B$260),0)),"")</f>
        <v>3521102000</v>
      </c>
      <c r="B7" s="28">
        <f>SUMIF('Регистр 0L'!$B$2:$B$260, A7,'Регистр 0L'!$E$2:$E$260)</f>
        <v>30093723.229999989</v>
      </c>
      <c r="C7" s="27" t="str" cm="1">
        <f t="array" ref="C7">IFERROR(INDEX('Регистр 0M'!$B$2:$B$285,MATCH(0,COUNTIF($C$2:$C6,'Регистр 0M'!$B$2:$B$285),0)),"")</f>
        <v>3521102000</v>
      </c>
      <c r="D7" s="28">
        <f>SUMIF('Регистр 0M'!$B$2:$B$285, C7,'Регистр 0M'!$E$2:$E$285)</f>
        <v>30965063.200000018</v>
      </c>
      <c r="E7" s="35">
        <f t="shared" si="0"/>
        <v>-871339.97000002861</v>
      </c>
      <c r="F7" s="6"/>
    </row>
    <row r="8" spans="1:7" ht="15.75" thickBot="1" x14ac:dyDescent="0.3">
      <c r="A8" s="31" t="str" cm="1">
        <f t="array" ref="A8">IFERROR(INDEX('Регистр 0L'!$B$2:$B$260,MATCH(0,COUNTIF($A$2:$A7,'Регистр 0L'!$B$2:$B$260),0)),"")</f>
        <v>3521201000</v>
      </c>
      <c r="B8" s="32">
        <f>SUMIF('Регистр 0L'!$B$2:$B$260, A8,'Регистр 0L'!$E$2:$E$260)</f>
        <v>612701.18000000005</v>
      </c>
      <c r="C8" s="31" t="str" cm="1">
        <f t="array" ref="C8">IFERROR(INDEX('Регистр 0M'!$B$2:$B$285,MATCH(0,COUNTIF($C$2:$C7,'Регистр 0M'!$B$2:$B$285),0)),"")</f>
        <v>3521201000</v>
      </c>
      <c r="D8" s="32">
        <f>SUMIF('Регистр 0M'!$B$2:$B$285, C8,'Регистр 0M'!$E$2:$E$285)</f>
        <v>612701.17999999993</v>
      </c>
      <c r="E8" s="37">
        <f t="shared" si="0"/>
        <v>0</v>
      </c>
      <c r="F8" s="6"/>
    </row>
    <row r="9" spans="1:7" x14ac:dyDescent="0.2">
      <c r="A9" s="6" t="str">
        <f t="array" ref="A9">IFERROR(INDEX('[1]Регистр 0L'!$B$2:$B$260,MATCH(0,COUNTIF($A$2:$A8,'[1]Регистр 0L'!$B$2:$B$260),0)),"")</f>
        <v/>
      </c>
      <c r="B9" s="6"/>
      <c r="C9" s="6"/>
      <c r="D9" s="6"/>
      <c r="E9" s="6"/>
      <c r="F9" s="6"/>
    </row>
    <row r="10" spans="1:7" x14ac:dyDescent="0.2">
      <c r="A10" s="6" t="str">
        <f t="array" ref="A10">IFERROR(INDEX('[1]Регистр 0L'!$B$2:$B$260,MATCH(0,COUNTIF($A$2:$A9,'[1]Регистр 0L'!$B$2:$B$260),0)),"")</f>
        <v/>
      </c>
      <c r="B10" s="6"/>
      <c r="C10" s="6"/>
      <c r="D10" s="6"/>
      <c r="E10" s="6"/>
      <c r="F10" s="6"/>
    </row>
    <row r="11" spans="1:7" ht="13.5" thickBot="1" x14ac:dyDescent="0.25"/>
    <row r="12" spans="1:7" x14ac:dyDescent="0.2">
      <c r="A12" s="16" t="s">
        <v>86</v>
      </c>
      <c r="B12" s="17"/>
      <c r="C12" s="18"/>
      <c r="D12" s="16" t="s">
        <v>93</v>
      </c>
      <c r="E12" s="17"/>
      <c r="F12" s="18"/>
      <c r="G12" s="19" t="s">
        <v>88</v>
      </c>
    </row>
    <row r="13" spans="1:7" x14ac:dyDescent="0.2">
      <c r="A13" s="9" t="s">
        <v>91</v>
      </c>
      <c r="B13" s="8" t="s">
        <v>55</v>
      </c>
      <c r="C13" s="10" t="s">
        <v>92</v>
      </c>
      <c r="D13" s="9" t="s">
        <v>91</v>
      </c>
      <c r="E13" s="8" t="s">
        <v>55</v>
      </c>
      <c r="F13" s="10" t="s">
        <v>92</v>
      </c>
      <c r="G13" s="20"/>
    </row>
    <row r="14" spans="1:7" ht="15" x14ac:dyDescent="0.2">
      <c r="A14" s="21">
        <v>3520811000</v>
      </c>
      <c r="B14" s="22" t="s">
        <v>65</v>
      </c>
      <c r="C14" s="23">
        <f>SUMIFS('Регистр 0L'!$E$2:$E$260,'Регистр 0L'!$B$2:$B$260,A14,'Регистр 0L'!$M$2:$M$260,B14)</f>
        <v>965719.09</v>
      </c>
      <c r="D14" s="21">
        <v>3520811000</v>
      </c>
      <c r="E14" s="22" t="s">
        <v>77</v>
      </c>
      <c r="F14" s="23">
        <f>SUMIFS('Регистр 0M'!$E$2:$E$285,'Регистр 0M'!$B$2:$B$285,D14,'Регистр 0M'!$L$2:$L$285,E14)</f>
        <v>965719.09</v>
      </c>
      <c r="G14" s="24">
        <f>C14-F14</f>
        <v>0</v>
      </c>
    </row>
    <row r="15" spans="1:7" x14ac:dyDescent="0.2">
      <c r="A15" s="9"/>
      <c r="B15" s="8"/>
      <c r="C15" s="10"/>
      <c r="D15" s="9"/>
      <c r="E15" s="8"/>
      <c r="F15" s="10"/>
      <c r="G15" s="14"/>
    </row>
    <row r="16" spans="1:7" ht="15" x14ac:dyDescent="0.2">
      <c r="A16" s="21">
        <v>3520902040</v>
      </c>
      <c r="B16" s="22" t="s">
        <v>60</v>
      </c>
      <c r="C16" s="23">
        <f>SUMIFS('Регистр 0L'!$E$2:$E$260,'Регистр 0L'!$B$2:$B$260,A16,'Регистр 0L'!$M$2:$M$260,B16)</f>
        <v>342958.58</v>
      </c>
      <c r="D16" s="21">
        <v>3520902040</v>
      </c>
      <c r="E16" s="22" t="s">
        <v>69</v>
      </c>
      <c r="F16" s="23">
        <f>SUMIFS('Регистр 0M'!$E$2:$E$285,'Регистр 0M'!$B$2:$B$285,D16,'Регистр 0M'!$L$2:$L$285,E16)</f>
        <v>342958.58</v>
      </c>
      <c r="G16" s="24">
        <f>C16-F16</f>
        <v>0</v>
      </c>
    </row>
    <row r="17" spans="1:7" x14ac:dyDescent="0.2">
      <c r="A17" s="9"/>
      <c r="B17" s="8"/>
      <c r="C17" s="10"/>
      <c r="D17" s="9"/>
      <c r="E17" s="8"/>
      <c r="F17" s="10"/>
      <c r="G17" s="14"/>
    </row>
    <row r="18" spans="1:7" ht="15" x14ac:dyDescent="0.2">
      <c r="A18" s="21">
        <v>3520902070</v>
      </c>
      <c r="B18" s="22" t="s">
        <v>60</v>
      </c>
      <c r="C18" s="23">
        <f>SUMIFS('Регистр 0L'!$E$2:$E$260,'Регистр 0L'!$B$2:$B$260,$A$18,'Регистр 0L'!$M$2:$M$260,B18)</f>
        <v>2431678.1800000002</v>
      </c>
      <c r="D18" s="21">
        <v>3520902070</v>
      </c>
      <c r="E18" s="22" t="s">
        <v>69</v>
      </c>
      <c r="F18" s="23">
        <f>SUMIFS('Регистр 0M'!$E$2:$E$285,'Регистр 0M'!$B$2:$B$285,$D$18,'Регистр 0M'!$L$2:$L$285,E18)</f>
        <v>2431678.1800000002</v>
      </c>
      <c r="G18" s="24">
        <f>C18-F18</f>
        <v>0</v>
      </c>
    </row>
    <row r="19" spans="1:7" x14ac:dyDescent="0.2">
      <c r="A19" s="9"/>
      <c r="B19" s="8" t="s">
        <v>66</v>
      </c>
      <c r="C19" s="10">
        <f>SUMIFS('Регистр 0L'!$E$2:$E$260,'Регистр 0L'!$B$2:$B$260,$A$18,'Регистр 0L'!$M$2:$M$260,B19)</f>
        <v>4784754.62</v>
      </c>
      <c r="D19" s="9"/>
      <c r="E19" s="8" t="s">
        <v>78</v>
      </c>
      <c r="F19" s="10">
        <f>SUMIFS('Регистр 0M'!$E$2:$E$285,'Регистр 0M'!$B$2:$B$285,$D$18,'Регистр 0M'!$L$2:$L$285,E19)</f>
        <v>4784754.62</v>
      </c>
      <c r="G19" s="14">
        <f>C19-F19</f>
        <v>0</v>
      </c>
    </row>
    <row r="20" spans="1:7" ht="15" x14ac:dyDescent="0.2">
      <c r="A20" s="21"/>
      <c r="B20" s="22" t="s">
        <v>67</v>
      </c>
      <c r="C20" s="23">
        <f>SUMIFS('Регистр 0L'!$E$2:$E$260,'Регистр 0L'!$B$2:$B$260,$A$18,'Регистр 0L'!$M$2:$M$260,B20)</f>
        <v>5540</v>
      </c>
      <c r="D20" s="21"/>
      <c r="E20" s="22" t="s">
        <v>79</v>
      </c>
      <c r="F20" s="23">
        <f>SUMIFS('Регистр 0M'!$E$2:$E$285,'Регистр 0M'!$B$2:$B$285,$D$18,'Регистр 0M'!$L$2:$L$285,E20)</f>
        <v>5540</v>
      </c>
      <c r="G20" s="24">
        <f>C20-F20</f>
        <v>0</v>
      </c>
    </row>
    <row r="21" spans="1:7" x14ac:dyDescent="0.2">
      <c r="A21" s="9"/>
      <c r="B21" s="8"/>
      <c r="C21" s="10"/>
      <c r="D21" s="9"/>
      <c r="E21" s="8"/>
      <c r="F21" s="10"/>
      <c r="G21" s="14"/>
    </row>
    <row r="22" spans="1:7" ht="15" x14ac:dyDescent="0.2">
      <c r="A22" s="21">
        <v>3521101000</v>
      </c>
      <c r="B22" s="22" t="s">
        <v>56</v>
      </c>
      <c r="C22" s="23">
        <f>SUMIFS('Регистр 0L'!$E$2:$E$260,'Регистр 0L'!$B$2:$B$260,$A$22,'Регистр 0L'!$M$2:$M$260,B22)</f>
        <v>1147986.17</v>
      </c>
      <c r="D22" s="21">
        <v>3521101000</v>
      </c>
      <c r="E22" s="22" t="s">
        <v>74</v>
      </c>
      <c r="F22" s="23">
        <f>SUMIFS('Регистр 0M'!$E$2:$E$285,'Регистр 0M'!$B$2:$B$285,$D$22,'Регистр 0M'!$L$2:$L$285,E22)</f>
        <v>1147986.17</v>
      </c>
      <c r="G22" s="24">
        <f>C22-F22</f>
        <v>0</v>
      </c>
    </row>
    <row r="23" spans="1:7" x14ac:dyDescent="0.2">
      <c r="A23" s="9"/>
      <c r="B23" s="8" t="s">
        <v>57</v>
      </c>
      <c r="C23" s="10">
        <f>SUMIFS('Регистр 0L'!$E$2:$E$260,'Регистр 0L'!$B$2:$B$260,$A$22,'Регистр 0L'!$M$2:$M$260,B23)</f>
        <v>2082255</v>
      </c>
      <c r="D23" s="9"/>
      <c r="E23" s="8" t="s">
        <v>76</v>
      </c>
      <c r="F23" s="10">
        <f>SUMIFS('Регистр 0M'!$E$2:$E$285,'Регистр 0M'!$B$2:$B$285,$D$22,'Регистр 0M'!$L$2:$L$285,E23)</f>
        <v>2082255</v>
      </c>
      <c r="G23" s="14">
        <f>C23-F23</f>
        <v>0</v>
      </c>
    </row>
    <row r="24" spans="1:7" ht="15" x14ac:dyDescent="0.2">
      <c r="A24" s="21"/>
      <c r="B24" s="22"/>
      <c r="C24" s="23"/>
      <c r="D24" s="21"/>
      <c r="E24" s="22"/>
      <c r="F24" s="23"/>
      <c r="G24" s="24"/>
    </row>
    <row r="25" spans="1:7" x14ac:dyDescent="0.2">
      <c r="A25" s="9">
        <v>3521102000</v>
      </c>
      <c r="B25" s="8" t="s">
        <v>57</v>
      </c>
      <c r="C25" s="10">
        <f>SUMIFS('Регистр 0L'!$E$2:$E$260,'Регистр 0L'!$B$2:$B$260,$A$25,'Регистр 0L'!$M$2:$M$260,B25)</f>
        <v>14958220.349999996</v>
      </c>
      <c r="D25" s="9">
        <v>3521102000</v>
      </c>
      <c r="E25" s="8" t="s">
        <v>76</v>
      </c>
      <c r="F25" s="10">
        <f>SUMIFS('Регистр 0M'!$E$2:$E$285,'Регистр 0M'!$B$2:$B$285,$D$25,'Регистр 0M'!$L$2:$L$285,E25)</f>
        <v>14958220.350000003</v>
      </c>
      <c r="G25" s="14">
        <f>C25-F25</f>
        <v>0</v>
      </c>
    </row>
    <row r="26" spans="1:7" ht="15" x14ac:dyDescent="0.2">
      <c r="A26" s="21"/>
      <c r="B26" s="22" t="s">
        <v>58</v>
      </c>
      <c r="C26" s="23">
        <f>SUMIFS('Регистр 0L'!$E$2:$E$260,'Регистр 0L'!$B$2:$B$260,$A$25,'Регистр 0L'!$M$2:$M$260,B26)</f>
        <v>2500</v>
      </c>
      <c r="D26" s="21"/>
      <c r="E26" s="22" t="s">
        <v>75</v>
      </c>
      <c r="F26" s="23">
        <f>SUMIFS('Регистр 0M'!$E$2:$E$285,'Регистр 0M'!$B$2:$B$285,$D$25,'Регистр 0M'!$L$2:$L$285,E26)</f>
        <v>2500</v>
      </c>
      <c r="G26" s="24">
        <f>C26-F26</f>
        <v>0</v>
      </c>
    </row>
    <row r="27" spans="1:7" x14ac:dyDescent="0.2">
      <c r="A27" s="9"/>
      <c r="B27" s="7" t="s">
        <v>56</v>
      </c>
      <c r="C27" s="10">
        <f>SUMIFS('Регистр 0L'!$E$2:$E$260,'Регистр 0L'!$B$2:$B$260,$A$25,'Регистр 0L'!$M$2:$M$260,B27)</f>
        <v>15133002.880000005</v>
      </c>
      <c r="D27" s="9"/>
      <c r="E27" s="6" t="s">
        <v>74</v>
      </c>
      <c r="F27" s="10">
        <f>SUMIFS('Регистр 0M'!$E$2:$E$285,'Регистр 0M'!$B$2:$B$285,$D$25,'Регистр 0M'!$L$2:$L$285,E27)</f>
        <v>16004342.849999988</v>
      </c>
      <c r="G27" s="14">
        <f>C27-F27</f>
        <v>-871339.96999998391</v>
      </c>
    </row>
    <row r="28" spans="1:7" ht="15" x14ac:dyDescent="0.2">
      <c r="A28" s="21"/>
      <c r="B28" s="22"/>
      <c r="C28" s="23"/>
      <c r="D28" s="21"/>
      <c r="E28" s="22"/>
      <c r="F28" s="23"/>
      <c r="G28" s="24"/>
    </row>
    <row r="29" spans="1:7" x14ac:dyDescent="0.2">
      <c r="A29" s="9">
        <v>3521201000</v>
      </c>
      <c r="B29" s="8" t="s">
        <v>60</v>
      </c>
      <c r="C29" s="10">
        <f>SUMIFS('Регистр 0L'!$E$2:$E$260,'Регистр 0L'!$B$2:$B$260,$A$29,'Регистр 0L'!$M$2:$M$260,B29)</f>
        <v>70945.23</v>
      </c>
      <c r="D29" s="9">
        <v>3521201000</v>
      </c>
      <c r="E29" s="8" t="s">
        <v>69</v>
      </c>
      <c r="F29" s="10">
        <f>SUMIFS('Регистр 0M'!$E$2:$E$285,'Регистр 0M'!$B$2:$B$285,$D$29,'Регистр 0M'!$L$2:$L$285,E29)</f>
        <v>70945.23</v>
      </c>
      <c r="G29" s="14">
        <f>C29-F29</f>
        <v>0</v>
      </c>
    </row>
    <row r="30" spans="1:7" ht="15" x14ac:dyDescent="0.2">
      <c r="A30" s="21"/>
      <c r="B30" s="22" t="s">
        <v>57</v>
      </c>
      <c r="C30" s="23">
        <f>SUMIFS('Регистр 0L'!$E$2:$E$260,'Регистр 0L'!$B$2:$B$260,$A$29,'Регистр 0L'!$M$2:$M$260,B30)</f>
        <v>386381.33999999997</v>
      </c>
      <c r="D30" s="21"/>
      <c r="E30" s="22" t="s">
        <v>76</v>
      </c>
      <c r="F30" s="23">
        <f>SUMIFS('Регистр 0M'!$E$2:$E$285,'Регистр 0M'!$B$2:$B$285,$D$29,'Регистр 0M'!$L$2:$L$285,E30)</f>
        <v>386381.33999999997</v>
      </c>
      <c r="G30" s="24">
        <f>C30-F30</f>
        <v>0</v>
      </c>
    </row>
    <row r="31" spans="1:7" ht="13.5" thickBot="1" x14ac:dyDescent="0.25">
      <c r="A31" s="11"/>
      <c r="B31" s="38" t="s">
        <v>56</v>
      </c>
      <c r="C31" s="13">
        <f>SUMIFS('Регистр 0L'!$E$2:$E$260,'Регистр 0L'!$B$2:$B$260,$A$29,'Регистр 0L'!$M$2:$M$260,B31)</f>
        <v>155374.60999999999</v>
      </c>
      <c r="D31" s="11"/>
      <c r="E31" s="12" t="s">
        <v>74</v>
      </c>
      <c r="F31" s="13">
        <f>SUMIFS('Регистр 0M'!$E$2:$E$285,'Регистр 0M'!$B$2:$B$285,$D$29,'Регистр 0M'!$L$2:$L$285,E31)</f>
        <v>155374.60999999999</v>
      </c>
      <c r="G31" s="15">
        <f>C31-F31</f>
        <v>0</v>
      </c>
    </row>
  </sheetData>
  <sortState xmlns:xlrd2="http://schemas.microsoft.com/office/spreadsheetml/2017/richdata2" ref="B23:B24">
    <sortCondition ref="B24"/>
  </sortState>
  <mergeCells count="6">
    <mergeCell ref="D12:F12"/>
    <mergeCell ref="A12:C12"/>
    <mergeCell ref="G12:G13"/>
    <mergeCell ref="A1:B1"/>
    <mergeCell ref="C1:D1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Регистр 0L</vt:lpstr>
      <vt:lpstr>Регистр 0M</vt:lpstr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Саша</cp:lastModifiedBy>
  <cp:revision>1</cp:revision>
  <dcterms:created xsi:type="dcterms:W3CDTF">2021-09-27T16:40:54Z</dcterms:created>
  <dcterms:modified xsi:type="dcterms:W3CDTF">2023-03-05T11:36:30Z</dcterms:modified>
  <cp:category/>
</cp:coreProperties>
</file>